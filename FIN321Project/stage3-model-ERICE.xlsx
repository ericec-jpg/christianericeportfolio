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ristianerice/Downloads/"/>
    </mc:Choice>
  </mc:AlternateContent>
  <xr:revisionPtr revIDLastSave="0" documentId="13_ncr:1_{CB1BD3B2-162A-5E4B-BA35-BCAEA562026C}" xr6:coauthVersionLast="47" xr6:coauthVersionMax="47" xr10:uidLastSave="{00000000-0000-0000-0000-000000000000}"/>
  <bookViews>
    <workbookView xWindow="460" yWindow="500" windowWidth="28800" windowHeight="15920" xr2:uid="{00000000-000D-0000-FFFF-FFFF00000000}"/>
  </bookViews>
  <sheets>
    <sheet name="Inputs" sheetId="1" r:id="rId1"/>
    <sheet name="Forward" sheetId="2" r:id="rId2"/>
    <sheet name="MoneyMarket" sheetId="3" r:id="rId3"/>
    <sheet name="Option" sheetId="4" r:id="rId4"/>
    <sheet name="Sensitivity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C7" i="6" s="1"/>
  <c r="C5" i="6"/>
  <c r="B5" i="6"/>
  <c r="B4" i="6"/>
  <c r="C4" i="6" s="1"/>
  <c r="G24" i="5"/>
  <c r="F24" i="5"/>
  <c r="D24" i="5"/>
  <c r="C24" i="5"/>
  <c r="B24" i="5"/>
  <c r="G23" i="5"/>
  <c r="F23" i="5"/>
  <c r="D23" i="5"/>
  <c r="C23" i="5"/>
  <c r="B23" i="5"/>
  <c r="D22" i="5"/>
  <c r="B22" i="5"/>
  <c r="G22" i="5" s="1"/>
  <c r="G21" i="5"/>
  <c r="D21" i="5"/>
  <c r="B21" i="5"/>
  <c r="C21" i="5" s="1"/>
  <c r="G20" i="5"/>
  <c r="F20" i="5"/>
  <c r="D20" i="5"/>
  <c r="C20" i="5"/>
  <c r="B20" i="5"/>
  <c r="G19" i="5"/>
  <c r="F19" i="5"/>
  <c r="D19" i="5"/>
  <c r="C19" i="5"/>
  <c r="B19" i="5"/>
  <c r="D18" i="5"/>
  <c r="B18" i="5"/>
  <c r="C18" i="5" s="1"/>
  <c r="G17" i="5"/>
  <c r="D17" i="5"/>
  <c r="B17" i="5"/>
  <c r="C17" i="5" s="1"/>
  <c r="G16" i="5"/>
  <c r="F16" i="5"/>
  <c r="D16" i="5"/>
  <c r="C16" i="5"/>
  <c r="B16" i="5"/>
  <c r="G15" i="5"/>
  <c r="F15" i="5"/>
  <c r="D15" i="5"/>
  <c r="C15" i="5"/>
  <c r="B15" i="5"/>
  <c r="D14" i="5"/>
  <c r="B14" i="5"/>
  <c r="C14" i="5" s="1"/>
  <c r="G13" i="5"/>
  <c r="D13" i="5"/>
  <c r="B13" i="5"/>
  <c r="C13" i="5" s="1"/>
  <c r="G12" i="5"/>
  <c r="F12" i="5"/>
  <c r="D12" i="5"/>
  <c r="C12" i="5"/>
  <c r="B12" i="5"/>
  <c r="G11" i="5"/>
  <c r="F11" i="5"/>
  <c r="D11" i="5"/>
  <c r="C11" i="5"/>
  <c r="B11" i="5"/>
  <c r="D10" i="5"/>
  <c r="B10" i="5"/>
  <c r="F10" i="5" s="1"/>
  <c r="G9" i="5"/>
  <c r="D9" i="5"/>
  <c r="B9" i="5"/>
  <c r="C9" i="5" s="1"/>
  <c r="G8" i="5"/>
  <c r="F8" i="5"/>
  <c r="D8" i="5"/>
  <c r="C8" i="5"/>
  <c r="B8" i="5"/>
  <c r="G7" i="5"/>
  <c r="F7" i="5"/>
  <c r="D7" i="5"/>
  <c r="C7" i="5"/>
  <c r="B7" i="5"/>
  <c r="D6" i="5"/>
  <c r="B6" i="5"/>
  <c r="F6" i="5" s="1"/>
  <c r="G5" i="5"/>
  <c r="D5" i="5"/>
  <c r="B5" i="5"/>
  <c r="C5" i="5" s="1"/>
  <c r="G4" i="5"/>
  <c r="F4" i="5"/>
  <c r="D4" i="5"/>
  <c r="C4" i="5"/>
  <c r="B4" i="5"/>
  <c r="B8" i="4"/>
  <c r="B8" i="6" s="1"/>
  <c r="C8" i="6" s="1"/>
  <c r="B7" i="4"/>
  <c r="B4" i="4"/>
  <c r="B3" i="4"/>
  <c r="D7" i="6" s="1"/>
  <c r="B5" i="3"/>
  <c r="B6" i="3" s="1"/>
  <c r="B4" i="3"/>
  <c r="B6" i="2"/>
  <c r="B4" i="2"/>
  <c r="B3" i="2"/>
  <c r="E23" i="5" l="1"/>
  <c r="E11" i="5"/>
  <c r="E20" i="5"/>
  <c r="E12" i="5"/>
  <c r="E18" i="5"/>
  <c r="E14" i="5"/>
  <c r="E10" i="5"/>
  <c r="E6" i="5"/>
  <c r="E19" i="5"/>
  <c r="E7" i="5"/>
  <c r="E4" i="5"/>
  <c r="E22" i="5"/>
  <c r="E16" i="5"/>
  <c r="B6" i="6"/>
  <c r="C6" i="6" s="1"/>
  <c r="E21" i="5"/>
  <c r="E17" i="5"/>
  <c r="E13" i="5"/>
  <c r="E9" i="5"/>
  <c r="E5" i="5"/>
  <c r="E15" i="5"/>
  <c r="E24" i="5"/>
  <c r="E8" i="5"/>
  <c r="B5" i="4"/>
  <c r="D8" i="6" s="1"/>
  <c r="C22" i="5"/>
  <c r="G6" i="5"/>
  <c r="G10" i="5"/>
  <c r="G14" i="5"/>
  <c r="G18" i="5"/>
  <c r="F5" i="5"/>
  <c r="F9" i="5"/>
  <c r="F13" i="5"/>
  <c r="F17" i="5"/>
  <c r="F21" i="5"/>
  <c r="C6" i="5"/>
  <c r="C10" i="5"/>
  <c r="F14" i="5"/>
  <c r="F18" i="5"/>
  <c r="F22" i="5"/>
</calcChain>
</file>

<file path=xl/sharedStrings.xml><?xml version="1.0" encoding="utf-8"?>
<sst xmlns="http://schemas.openxmlformats.org/spreadsheetml/2006/main" count="76" uniqueCount="72">
  <si>
    <t>FC_AMT</t>
  </si>
  <si>
    <t>S0</t>
  </si>
  <si>
    <t>F0_1Y</t>
  </si>
  <si>
    <t>r_USD_12M</t>
  </si>
  <si>
    <t>r_EUR_12M</t>
  </si>
  <si>
    <t>t</t>
  </si>
  <si>
    <t>K_put</t>
  </si>
  <si>
    <t>K_call</t>
  </si>
  <si>
    <t>Prem_put</t>
  </si>
  <si>
    <t>Prem_call</t>
  </si>
  <si>
    <t>Plan_USD</t>
  </si>
  <si>
    <t>Forward Hedge</t>
  </si>
  <si>
    <t>USD_forward (Locked USD Proceeds)</t>
  </si>
  <si>
    <t>Money Market Hedge</t>
  </si>
  <si>
    <t>Step</t>
  </si>
  <si>
    <t>Value</t>
  </si>
  <si>
    <t>Formula</t>
  </si>
  <si>
    <t>1. EUR PV</t>
  </si>
  <si>
    <t>2. USD Borrowed (EUR_PV * S0)</t>
  </si>
  <si>
    <t>3. USD at Maturity</t>
  </si>
  <si>
    <t>Option Hedge Analysis</t>
  </si>
  <si>
    <t>Put Premium Total</t>
  </si>
  <si>
    <t>Call Premium Total</t>
  </si>
  <si>
    <t>Net Collar Premium (Put - Call)</t>
  </si>
  <si>
    <t>Put Payoff (Base at S0)</t>
  </si>
  <si>
    <t>Collar Payoff (Base at S0)</t>
  </si>
  <si>
    <t>Sensitivity Analysis (-10% to +10%)</t>
  </si>
  <si>
    <t>Scenario</t>
  </si>
  <si>
    <t>S_T</t>
  </si>
  <si>
    <t>Unhedged</t>
  </si>
  <si>
    <t>Forward</t>
  </si>
  <si>
    <t>MoneyMarket</t>
  </si>
  <si>
    <t>PutOnly</t>
  </si>
  <si>
    <t>Collar</t>
  </si>
  <si>
    <t>-10%</t>
  </si>
  <si>
    <t>-9%</t>
  </si>
  <si>
    <t>-8%</t>
  </si>
  <si>
    <t>-7%</t>
  </si>
  <si>
    <t>-6%</t>
  </si>
  <si>
    <t>-5%</t>
  </si>
  <si>
    <t>-4%</t>
  </si>
  <si>
    <t>-3%</t>
  </si>
  <si>
    <t>-2%</t>
  </si>
  <si>
    <t>-1%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</si>
  <si>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</si>
  <si>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</si>
  <si>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</si>
  <si>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</si>
  <si>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</si>
  <si>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</si>
  <si>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</si>
  <si>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</si>
  <si>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</si>
  <si>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</si>
  <si>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</si>
  <si>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Summary Comparison</t>
  </si>
  <si>
    <t>Strategy</t>
  </si>
  <si>
    <t>USD Proceeds</t>
  </si>
  <si>
    <t>vs Plan</t>
  </si>
  <si>
    <t>Premium</t>
  </si>
  <si>
    <t>Notes</t>
  </si>
  <si>
    <t>Unhedged (Spot)</t>
  </si>
  <si>
    <t>$0</t>
  </si>
  <si>
    <t>Full exposure</t>
  </si>
  <si>
    <t>Forward Contract</t>
  </si>
  <si>
    <t>Certainty, no upside</t>
  </si>
  <si>
    <t>Money Market</t>
  </si>
  <si>
    <t>Replicates forward</t>
  </si>
  <si>
    <t>Protective Put</t>
  </si>
  <si>
    <t>Floor at K_put</t>
  </si>
  <si>
    <t>Zero-Cost Collar</t>
  </si>
  <si>
    <t>Floor/Cap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</si>
</sst>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C4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Strategy Comparison across Spot Scenarios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Sensitivity!$A$4:$A$24</c:f>
              <c:strCache>
                <c:ptCount val="21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</c:strCache>
            </c:strRef>
          </c:cat>
          <c:val>
            <c:numRef>
              <c:f>Sensitivity!$C$4:$C$24</c:f>
              <c:numCache>
                <c:formatCode>"$"#,##0.00</c:formatCode>
                <c:ptCount val="21"/>
                <c:pt idx="0">
                  <c:v>11250000.123749999</c:v>
                </c:pt>
                <c:pt idx="1">
                  <c:v>11375000.125125</c:v>
                </c:pt>
                <c:pt idx="2">
                  <c:v>11500000.126499999</c:v>
                </c:pt>
                <c:pt idx="3">
                  <c:v>11625000.127874998</c:v>
                </c:pt>
                <c:pt idx="4">
                  <c:v>11750000.129249999</c:v>
                </c:pt>
                <c:pt idx="5">
                  <c:v>11875000.130624998</c:v>
                </c:pt>
                <c:pt idx="6">
                  <c:v>12000000.131999997</c:v>
                </c:pt>
                <c:pt idx="7">
                  <c:v>12125000.133374998</c:v>
                </c:pt>
                <c:pt idx="8">
                  <c:v>12250000.134749999</c:v>
                </c:pt>
                <c:pt idx="9">
                  <c:v>12375000.136125</c:v>
                </c:pt>
                <c:pt idx="10">
                  <c:v>12500000.137499999</c:v>
                </c:pt>
                <c:pt idx="11">
                  <c:v>12625000.138874998</c:v>
                </c:pt>
                <c:pt idx="12">
                  <c:v>12750000.140249997</c:v>
                </c:pt>
                <c:pt idx="13">
                  <c:v>12875000.141625</c:v>
                </c:pt>
                <c:pt idx="14">
                  <c:v>13000000.142999999</c:v>
                </c:pt>
                <c:pt idx="15">
                  <c:v>13125000.144375</c:v>
                </c:pt>
                <c:pt idx="16">
                  <c:v>13250000.145749999</c:v>
                </c:pt>
                <c:pt idx="17">
                  <c:v>13375000.147124998</c:v>
                </c:pt>
                <c:pt idx="18">
                  <c:v>13500000.148499999</c:v>
                </c:pt>
                <c:pt idx="19">
                  <c:v>13625000.149875</c:v>
                </c:pt>
                <c:pt idx="20">
                  <c:v>13750000.151250001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4-1942-BB19-8C35FA3D50A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Sensitivity!$A$4:$A$24</c:f>
              <c:strCache>
                <c:ptCount val="21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</c:strCache>
            </c:strRef>
          </c:cat>
          <c:val>
            <c:numRef>
              <c:f>Sensitivity!$D$4:$D$24</c:f>
              <c:numCache>
                <c:formatCode>"$"#,##0.00</c:formatCode>
                <c:ptCount val="21"/>
                <c:pt idx="0">
                  <c:v>12540230.023</c:v>
                </c:pt>
                <c:pt idx="1">
                  <c:v>12540230.023</c:v>
                </c:pt>
                <c:pt idx="2">
                  <c:v>12540230.023</c:v>
                </c:pt>
                <c:pt idx="3">
                  <c:v>12540230.023</c:v>
                </c:pt>
                <c:pt idx="4">
                  <c:v>12540230.023</c:v>
                </c:pt>
                <c:pt idx="5">
                  <c:v>12540230.023</c:v>
                </c:pt>
                <c:pt idx="6">
                  <c:v>12540230.023</c:v>
                </c:pt>
                <c:pt idx="7">
                  <c:v>12540230.023</c:v>
                </c:pt>
                <c:pt idx="8">
                  <c:v>12540230.023</c:v>
                </c:pt>
                <c:pt idx="9">
                  <c:v>12540230.023</c:v>
                </c:pt>
                <c:pt idx="10">
                  <c:v>12540230.023</c:v>
                </c:pt>
                <c:pt idx="11">
                  <c:v>12540230.023</c:v>
                </c:pt>
                <c:pt idx="12">
                  <c:v>12540230.023</c:v>
                </c:pt>
                <c:pt idx="13">
                  <c:v>12540230.023</c:v>
                </c:pt>
                <c:pt idx="14">
                  <c:v>12540230.023</c:v>
                </c:pt>
                <c:pt idx="15">
                  <c:v>12540230.023</c:v>
                </c:pt>
                <c:pt idx="16">
                  <c:v>12540230.023</c:v>
                </c:pt>
                <c:pt idx="17">
                  <c:v>12540230.023</c:v>
                </c:pt>
                <c:pt idx="18">
                  <c:v>12540230.023</c:v>
                </c:pt>
                <c:pt idx="19">
                  <c:v>12540230.023</c:v>
                </c:pt>
                <c:pt idx="20">
                  <c:v>12540230.023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4-1942-BB19-8C35FA3D50A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Sensitivity!$A$4:$A$24</c:f>
              <c:strCache>
                <c:ptCount val="21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</c:strCache>
            </c:strRef>
          </c:cat>
          <c:val>
            <c:numRef>
              <c:f>Sensitivity!$E$4:$E$24</c:f>
              <c:numCache>
                <c:formatCode>"$"#,##0.00</c:formatCode>
                <c:ptCount val="21"/>
                <c:pt idx="0">
                  <c:v>12706010.803847551</c:v>
                </c:pt>
                <c:pt idx="1">
                  <c:v>12706010.803847551</c:v>
                </c:pt>
                <c:pt idx="2">
                  <c:v>12706010.803847551</c:v>
                </c:pt>
                <c:pt idx="3">
                  <c:v>12706010.803847551</c:v>
                </c:pt>
                <c:pt idx="4">
                  <c:v>12706010.803847551</c:v>
                </c:pt>
                <c:pt idx="5">
                  <c:v>12706010.803847551</c:v>
                </c:pt>
                <c:pt idx="6">
                  <c:v>12706010.803847551</c:v>
                </c:pt>
                <c:pt idx="7">
                  <c:v>12706010.803847551</c:v>
                </c:pt>
                <c:pt idx="8">
                  <c:v>12706010.803847551</c:v>
                </c:pt>
                <c:pt idx="9">
                  <c:v>12706010.803847551</c:v>
                </c:pt>
                <c:pt idx="10">
                  <c:v>12706010.803847551</c:v>
                </c:pt>
                <c:pt idx="11">
                  <c:v>12706010.803847551</c:v>
                </c:pt>
                <c:pt idx="12">
                  <c:v>12706010.803847551</c:v>
                </c:pt>
                <c:pt idx="13">
                  <c:v>12706010.803847551</c:v>
                </c:pt>
                <c:pt idx="14">
                  <c:v>12706010.803847551</c:v>
                </c:pt>
                <c:pt idx="15">
                  <c:v>12706010.803847551</c:v>
                </c:pt>
                <c:pt idx="16">
                  <c:v>12706010.803847551</c:v>
                </c:pt>
                <c:pt idx="17">
                  <c:v>12706010.803847551</c:v>
                </c:pt>
                <c:pt idx="18">
                  <c:v>12706010.803847551</c:v>
                </c:pt>
                <c:pt idx="19">
                  <c:v>12706010.803847551</c:v>
                </c:pt>
                <c:pt idx="20">
                  <c:v>12706010.803847551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4-1942-BB19-8C35FA3D50A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Sensitivity!$A$4:$A$24</c:f>
              <c:strCache>
                <c:ptCount val="21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</c:strCache>
            </c:strRef>
          </c:cat>
          <c:val>
            <c:numRef>
              <c:f>Sensitivity!$F$4:$F$24</c:f>
              <c:numCache>
                <c:formatCode>"$"#,##0.00</c:formatCode>
                <c:ptCount val="21"/>
                <c:pt idx="0">
                  <c:v>12333333.469000001</c:v>
                </c:pt>
                <c:pt idx="1">
                  <c:v>12333333.469000001</c:v>
                </c:pt>
                <c:pt idx="2">
                  <c:v>12333333.469000001</c:v>
                </c:pt>
                <c:pt idx="3">
                  <c:v>12333333.469000001</c:v>
                </c:pt>
                <c:pt idx="4">
                  <c:v>12333333.469000001</c:v>
                </c:pt>
                <c:pt idx="5">
                  <c:v>12333333.469000001</c:v>
                </c:pt>
                <c:pt idx="6">
                  <c:v>12333333.469000001</c:v>
                </c:pt>
                <c:pt idx="7">
                  <c:v>12333333.469000001</c:v>
                </c:pt>
                <c:pt idx="8">
                  <c:v>12333333.469000001</c:v>
                </c:pt>
                <c:pt idx="9">
                  <c:v>12333333.469000001</c:v>
                </c:pt>
                <c:pt idx="10">
                  <c:v>12333333.469000001</c:v>
                </c:pt>
                <c:pt idx="11">
                  <c:v>12429597.837874997</c:v>
                </c:pt>
                <c:pt idx="12">
                  <c:v>12554597.839249996</c:v>
                </c:pt>
                <c:pt idx="13">
                  <c:v>12679597.840624999</c:v>
                </c:pt>
                <c:pt idx="14">
                  <c:v>12804597.841999998</c:v>
                </c:pt>
                <c:pt idx="15">
                  <c:v>12929597.843374999</c:v>
                </c:pt>
                <c:pt idx="16">
                  <c:v>13054597.844749998</c:v>
                </c:pt>
                <c:pt idx="17">
                  <c:v>13179597.846124997</c:v>
                </c:pt>
                <c:pt idx="18">
                  <c:v>13304597.847499998</c:v>
                </c:pt>
                <c:pt idx="19">
                  <c:v>13429597.848874999</c:v>
                </c:pt>
                <c:pt idx="20">
                  <c:v>13554597.85025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4-1942-BB19-8C35FA3D50A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Sensitivity!$A$4:$A$24</c:f>
              <c:strCache>
                <c:ptCount val="21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</c:strCache>
            </c:strRef>
          </c:cat>
          <c:val>
            <c:numRef>
              <c:f>Sensitivity!$G$4:$G$24</c:f>
              <c:numCache>
                <c:formatCode>"$"#,##0.00</c:formatCode>
                <c:ptCount val="21"/>
                <c:pt idx="0">
                  <c:v>12471264.505000001</c:v>
                </c:pt>
                <c:pt idx="1">
                  <c:v>12471264.505000001</c:v>
                </c:pt>
                <c:pt idx="2">
                  <c:v>12471264.505000001</c:v>
                </c:pt>
                <c:pt idx="3">
                  <c:v>12471264.505000001</c:v>
                </c:pt>
                <c:pt idx="4">
                  <c:v>12471264.505000001</c:v>
                </c:pt>
                <c:pt idx="5">
                  <c:v>12471264.505000001</c:v>
                </c:pt>
                <c:pt idx="6">
                  <c:v>12471264.505000001</c:v>
                </c:pt>
                <c:pt idx="7">
                  <c:v>12471264.505000001</c:v>
                </c:pt>
                <c:pt idx="8">
                  <c:v>12471264.505000001</c:v>
                </c:pt>
                <c:pt idx="9">
                  <c:v>12471264.505000001</c:v>
                </c:pt>
                <c:pt idx="10">
                  <c:v>12471264.505000001</c:v>
                </c:pt>
                <c:pt idx="11">
                  <c:v>12567528.873874998</c:v>
                </c:pt>
                <c:pt idx="12">
                  <c:v>12692528.875249997</c:v>
                </c:pt>
                <c:pt idx="13">
                  <c:v>12817528.876625</c:v>
                </c:pt>
                <c:pt idx="14">
                  <c:v>12931034.624999998</c:v>
                </c:pt>
                <c:pt idx="15">
                  <c:v>12931034.624999998</c:v>
                </c:pt>
                <c:pt idx="16">
                  <c:v>12931034.624999998</c:v>
                </c:pt>
                <c:pt idx="17">
                  <c:v>12931034.624999998</c:v>
                </c:pt>
                <c:pt idx="18">
                  <c:v>12931034.624999998</c:v>
                </c:pt>
                <c:pt idx="19">
                  <c:v>12931034.624999998</c:v>
                </c:pt>
                <c:pt idx="20">
                  <c:v>12931034.624999998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74-1942-BB19-8C35FA3D5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 (pct)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00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0" customWidth="1"/>
    <col min="2" max="2" width="18" customWidth="1"/>
  </cols>
  <sheetData>
    <row r="1" spans="1:2" x14ac:dyDescent="0.2">
      <c r="A1" s="1" t="s">
        <v>0</v>
      </c>
      <c r="B1" s="2">
        <v>11494253</v>
      </c>
    </row>
    <row r="2" spans="1:2" x14ac:dyDescent="0.2">
      <c r="A2" s="1" t="s">
        <v>1</v>
      </c>
      <c r="B2" s="2">
        <v>1.0874999999999999</v>
      </c>
    </row>
    <row r="3" spans="1:2" x14ac:dyDescent="0.2">
      <c r="A3" s="1" t="s">
        <v>2</v>
      </c>
      <c r="B3" s="2">
        <v>1.091</v>
      </c>
    </row>
    <row r="4" spans="1:2" x14ac:dyDescent="0.2">
      <c r="A4" s="1" t="s">
        <v>3</v>
      </c>
      <c r="B4" s="2">
        <v>4.8499999999999996</v>
      </c>
    </row>
    <row r="5" spans="1:2" x14ac:dyDescent="0.2">
      <c r="A5" s="1" t="s">
        <v>4</v>
      </c>
      <c r="B5" s="2">
        <v>3.15</v>
      </c>
    </row>
    <row r="6" spans="1:2" x14ac:dyDescent="0.2">
      <c r="A6" s="1" t="s">
        <v>5</v>
      </c>
      <c r="B6" s="2">
        <v>1</v>
      </c>
    </row>
    <row r="7" spans="1:2" x14ac:dyDescent="0.2">
      <c r="A7" s="1" t="s">
        <v>6</v>
      </c>
      <c r="B7" s="2">
        <v>1.0900000000000001</v>
      </c>
    </row>
    <row r="8" spans="1:2" x14ac:dyDescent="0.2">
      <c r="A8" s="1" t="s">
        <v>7</v>
      </c>
      <c r="B8" s="2">
        <v>1.1299999999999999</v>
      </c>
    </row>
    <row r="9" spans="1:2" x14ac:dyDescent="0.2">
      <c r="A9" s="1" t="s">
        <v>8</v>
      </c>
      <c r="B9" s="2">
        <v>1.7000000000000001E-2</v>
      </c>
    </row>
    <row r="10" spans="1:2" x14ac:dyDescent="0.2">
      <c r="A10" s="1" t="s">
        <v>9</v>
      </c>
      <c r="B10" s="2">
        <v>1.2E-2</v>
      </c>
    </row>
    <row r="11" spans="1:2" x14ac:dyDescent="0.2">
      <c r="A11" s="1" t="s">
        <v>10</v>
      </c>
      <c r="B11" s="2">
        <v>12500000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9" bestFit="1" customWidth="1"/>
    <col min="2" max="2" width="13.6640625" bestFit="1" customWidth="1"/>
  </cols>
  <sheetData>
    <row r="1" spans="1:2" ht="19" x14ac:dyDescent="0.25">
      <c r="A1" s="3" t="s">
        <v>11</v>
      </c>
    </row>
    <row r="3" spans="1:2" x14ac:dyDescent="0.2">
      <c r="A3" s="4" t="s">
        <v>0</v>
      </c>
      <c r="B3" s="4">
        <f>Inputs!$B$1</f>
        <v>11494253</v>
      </c>
    </row>
    <row r="4" spans="1:2" x14ac:dyDescent="0.2">
      <c r="A4" s="4" t="s">
        <v>2</v>
      </c>
      <c r="B4" s="4">
        <f>Inputs!$B$3</f>
        <v>1.091</v>
      </c>
    </row>
    <row r="6" spans="1:2" x14ac:dyDescent="0.2">
      <c r="A6" s="4" t="s">
        <v>12</v>
      </c>
      <c r="B6" s="5">
        <f>B3*B4</f>
        <v>12540230.023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24.83203125" bestFit="1" customWidth="1"/>
    <col min="2" max="2" width="13.6640625" bestFit="1" customWidth="1"/>
    <col min="3" max="3" width="7.5" bestFit="1" customWidth="1"/>
  </cols>
  <sheetData>
    <row r="1" spans="1:3" ht="19" x14ac:dyDescent="0.25">
      <c r="A1" s="3" t="s">
        <v>13</v>
      </c>
    </row>
    <row r="3" spans="1:3" x14ac:dyDescent="0.2">
      <c r="A3" s="6" t="s">
        <v>14</v>
      </c>
      <c r="B3" s="6" t="s">
        <v>15</v>
      </c>
      <c r="C3" s="6" t="s">
        <v>16</v>
      </c>
    </row>
    <row r="4" spans="1:3" x14ac:dyDescent="0.2">
      <c r="A4" s="4" t="s">
        <v>17</v>
      </c>
      <c r="B4" s="7">
        <f>Inputs!$B$1 / (1 + Inputs!$B$5/100 * Inputs!$B$6)</f>
        <v>11143240.911294231</v>
      </c>
    </row>
    <row r="5" spans="1:3" x14ac:dyDescent="0.2">
      <c r="A5" s="4" t="s">
        <v>18</v>
      </c>
      <c r="B5" s="5">
        <f>B4 * Inputs!$B$2</f>
        <v>12118274.491032476</v>
      </c>
    </row>
    <row r="6" spans="1:3" x14ac:dyDescent="0.2">
      <c r="A6" s="4" t="s">
        <v>19</v>
      </c>
      <c r="B6" s="5">
        <f>B5 * (1 + Inputs!$B$4/100 * Inputs!$B$6)</f>
        <v>12706010.803847551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24.33203125" bestFit="1" customWidth="1"/>
    <col min="2" max="2" width="13.6640625" bestFit="1" customWidth="1"/>
  </cols>
  <sheetData>
    <row r="1" spans="1:2" ht="19" x14ac:dyDescent="0.25">
      <c r="A1" s="3" t="s">
        <v>20</v>
      </c>
    </row>
    <row r="3" spans="1:2" x14ac:dyDescent="0.2">
      <c r="A3" s="4" t="s">
        <v>21</v>
      </c>
      <c r="B3" s="5">
        <f>Inputs!$B$1 * Inputs!$B$9</f>
        <v>195402.30100000001</v>
      </c>
    </row>
    <row r="4" spans="1:2" x14ac:dyDescent="0.2">
      <c r="A4" s="4" t="s">
        <v>22</v>
      </c>
      <c r="B4" s="5">
        <f>Inputs!$B$1 * Inputs!$B$10</f>
        <v>137931.03599999999</v>
      </c>
    </row>
    <row r="5" spans="1:2" x14ac:dyDescent="0.2">
      <c r="A5" s="4" t="s">
        <v>23</v>
      </c>
      <c r="B5" s="5">
        <f>B3 - B4</f>
        <v>57471.265000000014</v>
      </c>
    </row>
    <row r="7" spans="1:2" x14ac:dyDescent="0.2">
      <c r="A7" s="4" t="s">
        <v>24</v>
      </c>
      <c r="B7" s="5">
        <f>Inputs!$B$1 * MAX( Inputs!$B$2, Inputs!$B$7 ) - ( Inputs!$B$1 * Inputs!$B$9 )</f>
        <v>12333333.469000001</v>
      </c>
    </row>
    <row r="8" spans="1:2" x14ac:dyDescent="0.2">
      <c r="A8" s="4" t="s">
        <v>25</v>
      </c>
      <c r="B8" s="5">
        <f>Inputs!$B$1 * MAX( MIN( Inputs!$B$2, Inputs!$B$8 ), Inputs!$B$7 ) - ( Inputs!$B$1 * ( Inputs!$B$9 - Inputs!$B$10 ) )</f>
        <v>12471264.505000001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activeCell="B9" sqref="B9"/>
    </sheetView>
  </sheetViews>
  <sheetFormatPr baseColWidth="10" defaultColWidth="8.83203125" defaultRowHeight="15" x14ac:dyDescent="0.2"/>
  <cols>
    <col min="1" max="7" width="16" customWidth="1"/>
  </cols>
  <sheetData>
    <row r="1" spans="1:7" ht="19" x14ac:dyDescent="0.25">
      <c r="A1" s="3" t="s">
        <v>26</v>
      </c>
    </row>
    <row r="3" spans="1:7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 x14ac:dyDescent="0.2">
      <c r="A4" s="4" t="s">
        <v>34</v>
      </c>
      <c r="B4" s="4">
        <f>Inputs!$B$2*(1+-10/100)</f>
        <v>0.9787499999999999</v>
      </c>
      <c r="C4" s="5">
        <f>Inputs!$B$1 * B4</f>
        <v>11250000.123749999</v>
      </c>
      <c r="D4" s="5">
        <f>Inputs!$B$1 * Inputs!$B$3</f>
        <v>12540230.023</v>
      </c>
      <c r="E4" s="5">
        <f>MoneyMarket!$B$6</f>
        <v>12706010.803847551</v>
      </c>
      <c r="F4" s="5">
        <f>Inputs!$B$1 * MAX(B4, Inputs!$B$7) - (Inputs!$B$1 * Inputs!$B$9)</f>
        <v>12333333.469000001</v>
      </c>
      <c r="G4" s="5">
        <f>Inputs!$B$1 * MAX(MIN(B4, Inputs!$B$8), Inputs!$B$7) - ( Inputs!$B$1 * ( Inputs!$B$9 - Inputs!$B$10 ) )</f>
        <v>12471264.505000001</v>
      </c>
    </row>
    <row r="5" spans="1:7" x14ac:dyDescent="0.2">
      <c r="A5" s="4" t="s">
        <v>35</v>
      </c>
      <c r="B5" s="4">
        <f>Inputs!$B$2*(1+-9/100)</f>
        <v>0.98962499999999998</v>
      </c>
      <c r="C5" s="5">
        <f>Inputs!$B$1 * B5</f>
        <v>11375000.125125</v>
      </c>
      <c r="D5" s="5">
        <f>Inputs!$B$1 * Inputs!$B$3</f>
        <v>12540230.023</v>
      </c>
      <c r="E5" s="5">
        <f>MoneyMarket!$B$6</f>
        <v>12706010.803847551</v>
      </c>
      <c r="F5" s="5">
        <f>Inputs!$B$1 * MAX(B5, Inputs!$B$7) - (Inputs!$B$1 * Inputs!$B$9)</f>
        <v>12333333.469000001</v>
      </c>
      <c r="G5" s="5">
        <f>Inputs!$B$1 * MAX(MIN(B5, Inputs!$B$8), Inputs!$B$7) - ( Inputs!$B$1 * ( Inputs!$B$9 - Inputs!$B$10 ) )</f>
        <v>12471264.505000001</v>
      </c>
    </row>
    <row r="6" spans="1:7" x14ac:dyDescent="0.2">
      <c r="A6" s="4" t="s">
        <v>36</v>
      </c>
      <c r="B6" s="4">
        <f>Inputs!$B$2*(1+-8/100)</f>
        <v>1.0004999999999999</v>
      </c>
      <c r="C6" s="5">
        <f>Inputs!$B$1 * B6</f>
        <v>11500000.126499999</v>
      </c>
      <c r="D6" s="5">
        <f>Inputs!$B$1 * Inputs!$B$3</f>
        <v>12540230.023</v>
      </c>
      <c r="E6" s="5">
        <f>MoneyMarket!$B$6</f>
        <v>12706010.803847551</v>
      </c>
      <c r="F6" s="5">
        <f>Inputs!$B$1 * MAX(B6, Inputs!$B$7) - (Inputs!$B$1 * Inputs!$B$9)</f>
        <v>12333333.469000001</v>
      </c>
      <c r="G6" s="5">
        <f>Inputs!$B$1 * MAX(MIN(B6, Inputs!$B$8), Inputs!$B$7) - ( Inputs!$B$1 * ( Inputs!$B$9 - Inputs!$B$10 ) )</f>
        <v>12471264.505000001</v>
      </c>
    </row>
    <row r="7" spans="1:7" x14ac:dyDescent="0.2">
      <c r="A7" s="4" t="s">
        <v>37</v>
      </c>
      <c r="B7" s="4">
        <f>Inputs!$B$2*(1+-7/100)</f>
        <v>1.0113749999999999</v>
      </c>
      <c r="C7" s="5">
        <f>Inputs!$B$1 * B7</f>
        <v>11625000.127874998</v>
      </c>
      <c r="D7" s="5">
        <f>Inputs!$B$1 * Inputs!$B$3</f>
        <v>12540230.023</v>
      </c>
      <c r="E7" s="5">
        <f>MoneyMarket!$B$6</f>
        <v>12706010.803847551</v>
      </c>
      <c r="F7" s="5">
        <f>Inputs!$B$1 * MAX(B7, Inputs!$B$7) - (Inputs!$B$1 * Inputs!$B$9)</f>
        <v>12333333.469000001</v>
      </c>
      <c r="G7" s="5">
        <f>Inputs!$B$1 * MAX(MIN(B7, Inputs!$B$8), Inputs!$B$7) - ( Inputs!$B$1 * ( Inputs!$B$9 - Inputs!$B$10 ) )</f>
        <v>12471264.505000001</v>
      </c>
    </row>
    <row r="8" spans="1:7" x14ac:dyDescent="0.2">
      <c r="A8" s="4" t="s">
        <v>38</v>
      </c>
      <c r="B8" s="4">
        <f>Inputs!$B$2*(1+-6/100)</f>
        <v>1.0222499999999999</v>
      </c>
      <c r="C8" s="5">
        <f>Inputs!$B$1 * B8</f>
        <v>11750000.129249999</v>
      </c>
      <c r="D8" s="5">
        <f>Inputs!$B$1 * Inputs!$B$3</f>
        <v>12540230.023</v>
      </c>
      <c r="E8" s="5">
        <f>MoneyMarket!$B$6</f>
        <v>12706010.803847551</v>
      </c>
      <c r="F8" s="5">
        <f>Inputs!$B$1 * MAX(B8, Inputs!$B$7) - (Inputs!$B$1 * Inputs!$B$9)</f>
        <v>12333333.469000001</v>
      </c>
      <c r="G8" s="5">
        <f>Inputs!$B$1 * MAX(MIN(B8, Inputs!$B$8), Inputs!$B$7) - ( Inputs!$B$1 * ( Inputs!$B$9 - Inputs!$B$10 ) )</f>
        <v>12471264.505000001</v>
      </c>
    </row>
    <row r="9" spans="1:7" x14ac:dyDescent="0.2">
      <c r="A9" s="4" t="s">
        <v>39</v>
      </c>
      <c r="B9" s="4">
        <f>Inputs!$B$2*(1+-5/100)</f>
        <v>1.0331249999999998</v>
      </c>
      <c r="C9" s="5">
        <f>Inputs!$B$1 * B9</f>
        <v>11875000.130624998</v>
      </c>
      <c r="D9" s="5">
        <f>Inputs!$B$1 * Inputs!$B$3</f>
        <v>12540230.023</v>
      </c>
      <c r="E9" s="5">
        <f>MoneyMarket!$B$6</f>
        <v>12706010.803847551</v>
      </c>
      <c r="F9" s="5">
        <f>Inputs!$B$1 * MAX(B9, Inputs!$B$7) - (Inputs!$B$1 * Inputs!$B$9)</f>
        <v>12333333.469000001</v>
      </c>
      <c r="G9" s="5">
        <f>Inputs!$B$1 * MAX(MIN(B9, Inputs!$B$8), Inputs!$B$7) - ( Inputs!$B$1 * ( Inputs!$B$9 - Inputs!$B$10 ) )</f>
        <v>12471264.505000001</v>
      </c>
    </row>
    <row r="10" spans="1:7" x14ac:dyDescent="0.2">
      <c r="A10" s="4" t="s">
        <v>40</v>
      </c>
      <c r="B10" s="4">
        <f>Inputs!$B$2*(1+-4/100)</f>
        <v>1.0439999999999998</v>
      </c>
      <c r="C10" s="5">
        <f>Inputs!$B$1 * B10</f>
        <v>12000000.131999997</v>
      </c>
      <c r="D10" s="5">
        <f>Inputs!$B$1 * Inputs!$B$3</f>
        <v>12540230.023</v>
      </c>
      <c r="E10" s="5">
        <f>MoneyMarket!$B$6</f>
        <v>12706010.803847551</v>
      </c>
      <c r="F10" s="5">
        <f>Inputs!$B$1 * MAX(B10, Inputs!$B$7) - (Inputs!$B$1 * Inputs!$B$9)</f>
        <v>12333333.469000001</v>
      </c>
      <c r="G10" s="5">
        <f>Inputs!$B$1 * MAX(MIN(B10, Inputs!$B$8), Inputs!$B$7) - ( Inputs!$B$1 * ( Inputs!$B$9 - Inputs!$B$10 ) )</f>
        <v>12471264.505000001</v>
      </c>
    </row>
    <row r="11" spans="1:7" x14ac:dyDescent="0.2">
      <c r="A11" s="4" t="s">
        <v>41</v>
      </c>
      <c r="B11" s="4">
        <f>Inputs!$B$2*(1+-3/100)</f>
        <v>1.0548749999999998</v>
      </c>
      <c r="C11" s="5">
        <f>Inputs!$B$1 * B11</f>
        <v>12125000.133374998</v>
      </c>
      <c r="D11" s="5">
        <f>Inputs!$B$1 * Inputs!$B$3</f>
        <v>12540230.023</v>
      </c>
      <c r="E11" s="5">
        <f>MoneyMarket!$B$6</f>
        <v>12706010.803847551</v>
      </c>
      <c r="F11" s="5">
        <f>Inputs!$B$1 * MAX(B11, Inputs!$B$7) - (Inputs!$B$1 * Inputs!$B$9)</f>
        <v>12333333.469000001</v>
      </c>
      <c r="G11" s="5">
        <f>Inputs!$B$1 * MAX(MIN(B11, Inputs!$B$8), Inputs!$B$7) - ( Inputs!$B$1 * ( Inputs!$B$9 - Inputs!$B$10 ) )</f>
        <v>12471264.505000001</v>
      </c>
    </row>
    <row r="12" spans="1:7" x14ac:dyDescent="0.2">
      <c r="A12" s="4" t="s">
        <v>42</v>
      </c>
      <c r="B12" s="4">
        <f>Inputs!$B$2*(1+-2/100)</f>
        <v>1.06575</v>
      </c>
      <c r="C12" s="5">
        <f>Inputs!$B$1 * B12</f>
        <v>12250000.134749999</v>
      </c>
      <c r="D12" s="5">
        <f>Inputs!$B$1 * Inputs!$B$3</f>
        <v>12540230.023</v>
      </c>
      <c r="E12" s="5">
        <f>MoneyMarket!$B$6</f>
        <v>12706010.803847551</v>
      </c>
      <c r="F12" s="5">
        <f>Inputs!$B$1 * MAX(B12, Inputs!$B$7) - (Inputs!$B$1 * Inputs!$B$9)</f>
        <v>12333333.469000001</v>
      </c>
      <c r="G12" s="5">
        <f>Inputs!$B$1 * MAX(MIN(B12, Inputs!$B$8), Inputs!$B$7) - ( Inputs!$B$1 * ( Inputs!$B$9 - Inputs!$B$10 ) )</f>
        <v>12471264.505000001</v>
      </c>
    </row>
    <row r="13" spans="1:7" x14ac:dyDescent="0.2">
      <c r="A13" s="4" t="s">
        <v>43</v>
      </c>
      <c r="B13" s="4">
        <f>Inputs!$B$2*(1+-1/100)</f>
        <v>1.0766249999999999</v>
      </c>
      <c r="C13" s="5">
        <f>Inputs!$B$1 * B13</f>
        <v>12375000.136125</v>
      </c>
      <c r="D13" s="5">
        <f>Inputs!$B$1 * Inputs!$B$3</f>
        <v>12540230.023</v>
      </c>
      <c r="E13" s="5">
        <f>MoneyMarket!$B$6</f>
        <v>12706010.803847551</v>
      </c>
      <c r="F13" s="5">
        <f>Inputs!$B$1 * MAX(B13, Inputs!$B$7) - (Inputs!$B$1 * Inputs!$B$9)</f>
        <v>12333333.469000001</v>
      </c>
      <c r="G13" s="5">
        <f>Inputs!$B$1 * MAX(MIN(B13, Inputs!$B$8), Inputs!$B$7) - ( Inputs!$B$1 * ( Inputs!$B$9 - Inputs!$B$10 ) )</f>
        <v>12471264.505000001</v>
      </c>
    </row>
    <row r="14" spans="1:7" x14ac:dyDescent="0.2">
      <c r="A14" s="4" t="s">
        <v>44</v>
      </c>
      <c r="B14" s="4">
        <f>Inputs!$B$2*(1+0/100)</f>
        <v>1.0874999999999999</v>
      </c>
      <c r="C14" s="5">
        <f>Inputs!$B$1 * B14</f>
        <v>12500000.137499999</v>
      </c>
      <c r="D14" s="5">
        <f>Inputs!$B$1 * Inputs!$B$3</f>
        <v>12540230.023</v>
      </c>
      <c r="E14" s="5">
        <f>MoneyMarket!$B$6</f>
        <v>12706010.803847551</v>
      </c>
      <c r="F14" s="5">
        <f>Inputs!$B$1 * MAX(B14, Inputs!$B$7) - (Inputs!$B$1 * Inputs!$B$9)</f>
        <v>12333333.469000001</v>
      </c>
      <c r="G14" s="5">
        <f>Inputs!$B$1 * MAX(MIN(B14, Inputs!$B$8), Inputs!$B$7) - ( Inputs!$B$1 * ( Inputs!$B$9 - Inputs!$B$10 ) )</f>
        <v>12471264.505000001</v>
      </c>
    </row>
    <row r="15" spans="1:7" x14ac:dyDescent="0.2">
      <c r="A15" s="4" t="s">
        <v>45</v>
      </c>
      <c r="B15" s="4">
        <f>Inputs!$B$2*(1+1/100)</f>
        <v>1.0983749999999999</v>
      </c>
      <c r="C15" s="5">
        <f>Inputs!$B$1 * B15</f>
        <v>12625000.138874998</v>
      </c>
      <c r="D15" s="5">
        <f>Inputs!$B$1 * Inputs!$B$3</f>
        <v>12540230.023</v>
      </c>
      <c r="E15" s="5">
        <f>MoneyMarket!$B$6</f>
        <v>12706010.803847551</v>
      </c>
      <c r="F15" s="5">
        <f>Inputs!$B$1 * MAX(B15, Inputs!$B$7) - (Inputs!$B$1 * Inputs!$B$9)</f>
        <v>12429597.837874997</v>
      </c>
      <c r="G15" s="5">
        <f>Inputs!$B$1 * MAX(MIN(B15, Inputs!$B$8), Inputs!$B$7) - ( Inputs!$B$1 * ( Inputs!$B$9 - Inputs!$B$10 ) )</f>
        <v>12567528.873874998</v>
      </c>
    </row>
    <row r="16" spans="1:7" x14ac:dyDescent="0.2">
      <c r="A16" s="4" t="s">
        <v>46</v>
      </c>
      <c r="B16" s="4">
        <f>Inputs!$B$2*(1+2/100)</f>
        <v>1.1092499999999998</v>
      </c>
      <c r="C16" s="5">
        <f>Inputs!$B$1 * B16</f>
        <v>12750000.140249997</v>
      </c>
      <c r="D16" s="5">
        <f>Inputs!$B$1 * Inputs!$B$3</f>
        <v>12540230.023</v>
      </c>
      <c r="E16" s="5">
        <f>MoneyMarket!$B$6</f>
        <v>12706010.803847551</v>
      </c>
      <c r="F16" s="5">
        <f>Inputs!$B$1 * MAX(B16, Inputs!$B$7) - (Inputs!$B$1 * Inputs!$B$9)</f>
        <v>12554597.839249996</v>
      </c>
      <c r="G16" s="5">
        <f>Inputs!$B$1 * MAX(MIN(B16, Inputs!$B$8), Inputs!$B$7) - ( Inputs!$B$1 * ( Inputs!$B$9 - Inputs!$B$10 ) )</f>
        <v>12692528.875249997</v>
      </c>
    </row>
    <row r="17" spans="1:7" x14ac:dyDescent="0.2">
      <c r="A17" s="4" t="s">
        <v>47</v>
      </c>
      <c r="B17" s="4">
        <f>Inputs!$B$2*(1+3/100)</f>
        <v>1.120125</v>
      </c>
      <c r="C17" s="5">
        <f>Inputs!$B$1 * B17</f>
        <v>12875000.141625</v>
      </c>
      <c r="D17" s="5">
        <f>Inputs!$B$1 * Inputs!$B$3</f>
        <v>12540230.023</v>
      </c>
      <c r="E17" s="5">
        <f>MoneyMarket!$B$6</f>
        <v>12706010.803847551</v>
      </c>
      <c r="F17" s="5">
        <f>Inputs!$B$1 * MAX(B17, Inputs!$B$7) - (Inputs!$B$1 * Inputs!$B$9)</f>
        <v>12679597.840624999</v>
      </c>
      <c r="G17" s="5">
        <f>Inputs!$B$1 * MAX(MIN(B17, Inputs!$B$8), Inputs!$B$7) - ( Inputs!$B$1 * ( Inputs!$B$9 - Inputs!$B$10 ) )</f>
        <v>12817528.876625</v>
      </c>
    </row>
    <row r="18" spans="1:7" x14ac:dyDescent="0.2">
      <c r="A18" s="4" t="s">
        <v>48</v>
      </c>
      <c r="B18" s="4">
        <f>Inputs!$B$2*(1+4/100)</f>
        <v>1.131</v>
      </c>
      <c r="C18" s="5">
        <f>Inputs!$B$1 * B18</f>
        <v>13000000.142999999</v>
      </c>
      <c r="D18" s="5">
        <f>Inputs!$B$1 * Inputs!$B$3</f>
        <v>12540230.023</v>
      </c>
      <c r="E18" s="5">
        <f>MoneyMarket!$B$6</f>
        <v>12706010.803847551</v>
      </c>
      <c r="F18" s="5">
        <f>Inputs!$B$1 * MAX(B18, Inputs!$B$7) - (Inputs!$B$1 * Inputs!$B$9)</f>
        <v>12804597.841999998</v>
      </c>
      <c r="G18" s="5">
        <f>Inputs!$B$1 * MAX(MIN(B18, Inputs!$B$8), Inputs!$B$7) - ( Inputs!$B$1 * ( Inputs!$B$9 - Inputs!$B$10 ) )</f>
        <v>12931034.624999998</v>
      </c>
    </row>
    <row r="19" spans="1:7" x14ac:dyDescent="0.2">
      <c r="A19" s="4" t="s">
        <v>49</v>
      </c>
      <c r="B19" s="4">
        <f>Inputs!$B$2*(1+5/100)</f>
        <v>1.141875</v>
      </c>
      <c r="C19" s="5">
        <f>Inputs!$B$1 * B19</f>
        <v>13125000.144375</v>
      </c>
      <c r="D19" s="5">
        <f>Inputs!$B$1 * Inputs!$B$3</f>
        <v>12540230.023</v>
      </c>
      <c r="E19" s="5">
        <f>MoneyMarket!$B$6</f>
        <v>12706010.803847551</v>
      </c>
      <c r="F19" s="5">
        <f>Inputs!$B$1 * MAX(B19, Inputs!$B$7) - (Inputs!$B$1 * Inputs!$B$9)</f>
        <v>12929597.843374999</v>
      </c>
      <c r="G19" s="5">
        <f>Inputs!$B$1 * MAX(MIN(B19, Inputs!$B$8), Inputs!$B$7) - ( Inputs!$B$1 * ( Inputs!$B$9 - Inputs!$B$10 ) )</f>
        <v>12931034.624999998</v>
      </c>
    </row>
    <row r="20" spans="1:7" x14ac:dyDescent="0.2">
      <c r="A20" s="4" t="s">
        <v>50</v>
      </c>
      <c r="B20" s="4">
        <f>Inputs!$B$2*(1+6/100)</f>
        <v>1.1527499999999999</v>
      </c>
      <c r="C20" s="5">
        <f>Inputs!$B$1 * B20</f>
        <v>13250000.145749999</v>
      </c>
      <c r="D20" s="5">
        <f>Inputs!$B$1 * Inputs!$B$3</f>
        <v>12540230.023</v>
      </c>
      <c r="E20" s="5">
        <f>MoneyMarket!$B$6</f>
        <v>12706010.803847551</v>
      </c>
      <c r="F20" s="5">
        <f>Inputs!$B$1 * MAX(B20, Inputs!$B$7) - (Inputs!$B$1 * Inputs!$B$9)</f>
        <v>13054597.844749998</v>
      </c>
      <c r="G20" s="5">
        <f>Inputs!$B$1 * MAX(MIN(B20, Inputs!$B$8), Inputs!$B$7) - ( Inputs!$B$1 * ( Inputs!$B$9 - Inputs!$B$10 ) )</f>
        <v>12931034.624999998</v>
      </c>
    </row>
    <row r="21" spans="1:7" x14ac:dyDescent="0.2">
      <c r="A21" s="4" t="s">
        <v>51</v>
      </c>
      <c r="B21" s="4">
        <f>Inputs!$B$2*(1+7/100)</f>
        <v>1.1636249999999999</v>
      </c>
      <c r="C21" s="5">
        <f>Inputs!$B$1 * B21</f>
        <v>13375000.147124998</v>
      </c>
      <c r="D21" s="5">
        <f>Inputs!$B$1 * Inputs!$B$3</f>
        <v>12540230.023</v>
      </c>
      <c r="E21" s="5">
        <f>MoneyMarket!$B$6</f>
        <v>12706010.803847551</v>
      </c>
      <c r="F21" s="5">
        <f>Inputs!$B$1 * MAX(B21, Inputs!$B$7) - (Inputs!$B$1 * Inputs!$B$9)</f>
        <v>13179597.846124997</v>
      </c>
      <c r="G21" s="5">
        <f>Inputs!$B$1 * MAX(MIN(B21, Inputs!$B$8), Inputs!$B$7) - ( Inputs!$B$1 * ( Inputs!$B$9 - Inputs!$B$10 ) )</f>
        <v>12931034.624999998</v>
      </c>
    </row>
    <row r="22" spans="1:7" x14ac:dyDescent="0.2">
      <c r="A22" s="4" t="s">
        <v>52</v>
      </c>
      <c r="B22" s="4">
        <f>Inputs!$B$2*(1+8/100)</f>
        <v>1.1744999999999999</v>
      </c>
      <c r="C22" s="5">
        <f>Inputs!$B$1 * B22</f>
        <v>13500000.148499999</v>
      </c>
      <c r="D22" s="5">
        <f>Inputs!$B$1 * Inputs!$B$3</f>
        <v>12540230.023</v>
      </c>
      <c r="E22" s="5">
        <f>MoneyMarket!$B$6</f>
        <v>12706010.803847551</v>
      </c>
      <c r="F22" s="5">
        <f>Inputs!$B$1 * MAX(B22, Inputs!$B$7) - (Inputs!$B$1 * Inputs!$B$9)</f>
        <v>13304597.847499998</v>
      </c>
      <c r="G22" s="5">
        <f>Inputs!$B$1 * MAX(MIN(B22, Inputs!$B$8), Inputs!$B$7) - ( Inputs!$B$1 * ( Inputs!$B$9 - Inputs!$B$10 ) )</f>
        <v>12931034.624999998</v>
      </c>
    </row>
    <row r="23" spans="1:7" x14ac:dyDescent="0.2">
      <c r="A23" s="4" t="s">
        <v>53</v>
      </c>
      <c r="B23" s="4">
        <f>Inputs!$B$2*(1+9/100)</f>
        <v>1.1853750000000001</v>
      </c>
      <c r="C23" s="5">
        <f>Inputs!$B$1 * B23</f>
        <v>13625000.149875</v>
      </c>
      <c r="D23" s="5">
        <f>Inputs!$B$1 * Inputs!$B$3</f>
        <v>12540230.023</v>
      </c>
      <c r="E23" s="5">
        <f>MoneyMarket!$B$6</f>
        <v>12706010.803847551</v>
      </c>
      <c r="F23" s="5">
        <f>Inputs!$B$1 * MAX(B23, Inputs!$B$7) - (Inputs!$B$1 * Inputs!$B$9)</f>
        <v>13429597.848874999</v>
      </c>
      <c r="G23" s="5">
        <f>Inputs!$B$1 * MAX(MIN(B23, Inputs!$B$8), Inputs!$B$7) - ( Inputs!$B$1 * ( Inputs!$B$9 - Inputs!$B$10 ) )</f>
        <v>12931034.624999998</v>
      </c>
    </row>
    <row r="24" spans="1:7" x14ac:dyDescent="0.2">
      <c r="A24" s="4" t="s">
        <v>54</v>
      </c>
      <c r="B24" s="4">
        <f>Inputs!$B$2*(1+10/100)</f>
        <v>1.19625</v>
      </c>
      <c r="C24" s="5">
        <f>Inputs!$B$1 * B24</f>
        <v>13750000.151250001</v>
      </c>
      <c r="D24" s="5">
        <f>Inputs!$B$1 * Inputs!$B$3</f>
        <v>12540230.023</v>
      </c>
      <c r="E24" s="5">
        <f>MoneyMarket!$B$6</f>
        <v>12706010.803847551</v>
      </c>
      <c r="F24" s="5">
        <f>Inputs!$B$1 * MAX(B24, Inputs!$B$7) - (Inputs!$B$1 * Inputs!$B$9)</f>
        <v>13554597.85025</v>
      </c>
      <c r="G24" s="5">
        <f>Inputs!$B$1 * MAX(MIN(B24, Inputs!$B$8), Inputs!$B$7) - ( Inputs!$B$1 * ( Inputs!$B$9 - Inputs!$B$10 ) )</f>
        <v>12931034.624999998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baseColWidth="10" defaultColWidth="8.83203125" defaultRowHeight="15" x14ac:dyDescent="0.2"/>
  <cols>
    <col min="1" max="5" width="20" customWidth="1"/>
  </cols>
  <sheetData>
    <row r="1" spans="1:5" ht="19" x14ac:dyDescent="0.25">
      <c r="A1" s="3" t="s">
        <v>55</v>
      </c>
    </row>
    <row r="3" spans="1:5" x14ac:dyDescent="0.2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</row>
    <row r="4" spans="1:5" x14ac:dyDescent="0.2">
      <c r="A4" s="4" t="s">
        <v>61</v>
      </c>
      <c r="B4" s="5">
        <f>Inputs!$B$1 * Inputs!$B$2</f>
        <v>12500000.137499999</v>
      </c>
      <c r="C4" s="5">
        <f>B4 - Inputs!$B$11</f>
        <v>0.13749999925494194</v>
      </c>
      <c r="D4" s="5" t="s">
        <v>62</v>
      </c>
      <c r="E4" s="4" t="s">
        <v>63</v>
      </c>
    </row>
    <row r="5" spans="1:5" x14ac:dyDescent="0.2">
      <c r="A5" s="4" t="s">
        <v>64</v>
      </c>
      <c r="B5" s="5">
        <f>Inputs!$B$1 * Inputs!$B$3</f>
        <v>12540230.023</v>
      </c>
      <c r="C5" s="5">
        <f>B5 - Inputs!$B$11</f>
        <v>40230.023000000045</v>
      </c>
      <c r="D5" s="5" t="s">
        <v>62</v>
      </c>
      <c r="E5" s="4" t="s">
        <v>65</v>
      </c>
    </row>
    <row r="6" spans="1:5" x14ac:dyDescent="0.2">
      <c r="A6" s="4" t="s">
        <v>66</v>
      </c>
      <c r="B6" s="5">
        <f>MoneyMarket!$B$6</f>
        <v>12706010.803847551</v>
      </c>
      <c r="C6" s="5">
        <f>B6 - Inputs!$B$11</f>
        <v>206010.80384755135</v>
      </c>
      <c r="D6" s="5" t="s">
        <v>62</v>
      </c>
      <c r="E6" s="4" t="s">
        <v>67</v>
      </c>
    </row>
    <row r="7" spans="1:5" x14ac:dyDescent="0.2">
      <c r="A7" s="4" t="s">
        <v>68</v>
      </c>
      <c r="B7" s="5">
        <f>Option!$B$7</f>
        <v>12333333.469000001</v>
      </c>
      <c r="C7" s="5">
        <f>B7 - Inputs!$B$11</f>
        <v>-166666.53099999949</v>
      </c>
      <c r="D7" s="5">
        <f>Option!$B$3</f>
        <v>195402.30100000001</v>
      </c>
      <c r="E7" s="4" t="s">
        <v>69</v>
      </c>
    </row>
    <row r="8" spans="1:5" x14ac:dyDescent="0.2">
      <c r="A8" s="4" t="s">
        <v>70</v>
      </c>
      <c r="B8" s="5">
        <f>Option!$B$8</f>
        <v>12471264.505000001</v>
      </c>
      <c r="C8" s="5">
        <f>B8 - Inputs!$B$11</f>
        <v>-28735.49499999918</v>
      </c>
      <c r="D8" s="5">
        <f>ABS(Option!$B$5)</f>
        <v>57471.265000000014</v>
      </c>
      <c r="E8" s="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Forward</vt:lpstr>
      <vt:lpstr>MoneyMarket</vt:lpstr>
      <vt:lpstr>Option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Erice</cp:lastModifiedBy>
  <dcterms:created xsi:type="dcterms:W3CDTF">2025-11-22T07:55:09Z</dcterms:created>
  <dcterms:modified xsi:type="dcterms:W3CDTF">2025-11-22T08:12:13Z</dcterms:modified>
</cp:coreProperties>
</file>