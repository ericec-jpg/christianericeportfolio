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christianerice/Downloads/"/>
    </mc:Choice>
  </mc:AlternateContent>
  <xr:revisionPtr revIDLastSave="0" documentId="13_ncr:1_{9529D589-3B8A-F040-AD4A-AAFF6C6E172F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Inputs" sheetId="1" r:id="rId1"/>
    <sheet name="Forward" sheetId="2" r:id="rId2"/>
    <sheet name="MoneyMarket" sheetId="3" r:id="rId3"/>
    <sheet name="Option" sheetId="4" r:id="rId4"/>
    <sheet name="Sensitivity" sheetId="5" r:id="rId5"/>
    <sheet name="Summary" sheetId="6" r:id="rId6"/>
  </sheets>
  <definedNames>
    <definedName name="_xlchart.v1.0" hidden="1">Sensitivity!$A$3</definedName>
    <definedName name="_xlchart.v1.1" hidden="1">Sensitivity!$A$4:$A$24</definedName>
    <definedName name="_xlchart.v1.10" hidden="1">Sensitivity!$G$3</definedName>
    <definedName name="_xlchart.v1.11" hidden="1">Sensitivity!$G$4:$G$24</definedName>
    <definedName name="_xlchart.v1.2" hidden="1">Sensitivity!$C$3</definedName>
    <definedName name="_xlchart.v1.3" hidden="1">Sensitivity!$C$4:$C$24</definedName>
    <definedName name="_xlchart.v1.4" hidden="1">Sensitivity!$D$3</definedName>
    <definedName name="_xlchart.v1.5" hidden="1">Sensitivity!$D$4:$D$24</definedName>
    <definedName name="_xlchart.v1.6" hidden="1">Sensitivity!$E$3</definedName>
    <definedName name="_xlchart.v1.7" hidden="1">Sensitivity!$E$4:$E$24</definedName>
    <definedName name="_xlchart.v1.8" hidden="1">Sensitivity!$F$3</definedName>
    <definedName name="_xlchart.v1.9" hidden="1">Sensitivity!$F$4:$F$24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C5" i="6" s="1"/>
  <c r="B4" i="6"/>
  <c r="C4" i="6" s="1"/>
  <c r="D24" i="5"/>
  <c r="B24" i="5"/>
  <c r="C24" i="5" s="1"/>
  <c r="D23" i="5"/>
  <c r="B23" i="5"/>
  <c r="D22" i="5"/>
  <c r="B22" i="5"/>
  <c r="D21" i="5"/>
  <c r="B21" i="5"/>
  <c r="C21" i="5" s="1"/>
  <c r="D20" i="5"/>
  <c r="B20" i="5"/>
  <c r="C20" i="5" s="1"/>
  <c r="D19" i="5"/>
  <c r="B19" i="5"/>
  <c r="D18" i="5"/>
  <c r="B18" i="5"/>
  <c r="D17" i="5"/>
  <c r="B17" i="5"/>
  <c r="C17" i="5" s="1"/>
  <c r="D16" i="5"/>
  <c r="B16" i="5"/>
  <c r="C16" i="5" s="1"/>
  <c r="D15" i="5"/>
  <c r="B15" i="5"/>
  <c r="D14" i="5"/>
  <c r="B14" i="5"/>
  <c r="D13" i="5"/>
  <c r="B13" i="5"/>
  <c r="C13" i="5" s="1"/>
  <c r="D12" i="5"/>
  <c r="B12" i="5"/>
  <c r="C12" i="5" s="1"/>
  <c r="D11" i="5"/>
  <c r="B11" i="5"/>
  <c r="D10" i="5"/>
  <c r="B10" i="5"/>
  <c r="D9" i="5"/>
  <c r="B9" i="5"/>
  <c r="C9" i="5" s="1"/>
  <c r="D8" i="5"/>
  <c r="B8" i="5"/>
  <c r="C8" i="5" s="1"/>
  <c r="D7" i="5"/>
  <c r="B7" i="5"/>
  <c r="D6" i="5"/>
  <c r="B6" i="5"/>
  <c r="D5" i="5"/>
  <c r="B5" i="5"/>
  <c r="C5" i="5" s="1"/>
  <c r="D4" i="5"/>
  <c r="B4" i="5"/>
  <c r="C4" i="5" s="1"/>
  <c r="B4" i="4"/>
  <c r="B3" i="4"/>
  <c r="F22" i="5" s="1"/>
  <c r="B4" i="3"/>
  <c r="B5" i="3" s="1"/>
  <c r="B6" i="3" s="1"/>
  <c r="B4" i="2"/>
  <c r="B3" i="2"/>
  <c r="B6" i="2" s="1"/>
  <c r="E21" i="5" l="1"/>
  <c r="E17" i="5"/>
  <c r="E13" i="5"/>
  <c r="E9" i="5"/>
  <c r="E5" i="5"/>
  <c r="E22" i="5"/>
  <c r="E18" i="5"/>
  <c r="E14" i="5"/>
  <c r="E10" i="5"/>
  <c r="E6" i="5"/>
  <c r="E23" i="5"/>
  <c r="E19" i="5"/>
  <c r="E15" i="5"/>
  <c r="E11" i="5"/>
  <c r="E7" i="5"/>
  <c r="E24" i="5"/>
  <c r="E20" i="5"/>
  <c r="E16" i="5"/>
  <c r="E12" i="5"/>
  <c r="E8" i="5"/>
  <c r="E4" i="5"/>
  <c r="B6" i="6"/>
  <c r="C6" i="6" s="1"/>
  <c r="G7" i="5"/>
  <c r="C7" i="5"/>
  <c r="C11" i="5"/>
  <c r="C15" i="5"/>
  <c r="C19" i="5"/>
  <c r="C23" i="5"/>
  <c r="F5" i="5"/>
  <c r="F21" i="5"/>
  <c r="F4" i="5"/>
  <c r="F8" i="5"/>
  <c r="F12" i="5"/>
  <c r="F16" i="5"/>
  <c r="F20" i="5"/>
  <c r="F24" i="5"/>
  <c r="B5" i="4"/>
  <c r="G14" i="5" s="1"/>
  <c r="C6" i="5"/>
  <c r="C10" i="5"/>
  <c r="C14" i="5"/>
  <c r="C18" i="5"/>
  <c r="C22" i="5"/>
  <c r="F9" i="5"/>
  <c r="F17" i="5"/>
  <c r="F7" i="5"/>
  <c r="D7" i="6"/>
  <c r="F13" i="5"/>
  <c r="B7" i="4"/>
  <c r="B7" i="6" s="1"/>
  <c r="C7" i="6" s="1"/>
  <c r="F11" i="5"/>
  <c r="F15" i="5"/>
  <c r="F19" i="5"/>
  <c r="F23" i="5"/>
  <c r="F6" i="5"/>
  <c r="F10" i="5"/>
  <c r="F14" i="5"/>
  <c r="F18" i="5"/>
  <c r="G11" i="5" l="1"/>
  <c r="G17" i="5"/>
  <c r="G20" i="5"/>
  <c r="G24" i="5"/>
  <c r="G12" i="5"/>
  <c r="G8" i="5"/>
  <c r="G4" i="5"/>
  <c r="G23" i="5"/>
  <c r="G13" i="5"/>
  <c r="G19" i="5"/>
  <c r="G15" i="5"/>
  <c r="G22" i="5"/>
  <c r="G18" i="5"/>
  <c r="G9" i="5"/>
  <c r="D8" i="6"/>
  <c r="B8" i="4"/>
  <c r="B8" i="6" s="1"/>
  <c r="C8" i="6" s="1"/>
  <c r="G16" i="5"/>
  <c r="G10" i="5"/>
  <c r="G21" i="5"/>
  <c r="G5" i="5"/>
  <c r="G6" i="5"/>
</calcChain>
</file>

<file path=xl/sharedStrings.xml><?xml version="1.0" encoding="utf-8"?>
<sst xmlns="http://schemas.openxmlformats.org/spreadsheetml/2006/main" count="58" uniqueCount="54">
  <si>
    <t>FC_AMT</t>
  </si>
  <si>
    <t>S0</t>
  </si>
  <si>
    <t>F0_1Y</t>
  </si>
  <si>
    <t>r_USD_12M</t>
  </si>
  <si>
    <t>r_EUR_12M</t>
  </si>
  <si>
    <t>t</t>
  </si>
  <si>
    <t>K_put</t>
  </si>
  <si>
    <t>K_call</t>
  </si>
  <si>
    <t>Prem_put</t>
  </si>
  <si>
    <t>Prem_call</t>
  </si>
  <si>
    <t>Plan_USD</t>
  </si>
  <si>
    <t>Forward Hedge</t>
  </si>
  <si>
    <t>USD_forward (Locked USD Proceeds)</t>
  </si>
  <si>
    <t>Money Market Hedge</t>
  </si>
  <si>
    <t>Step</t>
  </si>
  <si>
    <t>Value</t>
  </si>
  <si>
    <t>Formula</t>
  </si>
  <si>
    <t>1. EUR PV</t>
  </si>
  <si>
    <t>FC_AMT / (1 + r_EUR_12M * t)</t>
  </si>
  <si>
    <t>2. USD Borrowed (EUR_PV * S0)</t>
  </si>
  <si>
    <t>EUR_PV * S0</t>
  </si>
  <si>
    <t>3. USD at Maturity</t>
  </si>
  <si>
    <t>USD_today * (1 + r_USD_12M * t)</t>
  </si>
  <si>
    <t>Option Hedge Analysis</t>
  </si>
  <si>
    <t>Put Premium Total</t>
  </si>
  <si>
    <t>Call Premium Total</t>
  </si>
  <si>
    <t>Net Collar Premium (Put - Call)</t>
  </si>
  <si>
    <t>Put Only USD Proceeds (at S0)</t>
  </si>
  <si>
    <t>Collar USD Proceeds (at S0)</t>
  </si>
  <si>
    <t>Sensitivity Analysis (-10% to +10%)</t>
  </si>
  <si>
    <t>Scenario</t>
  </si>
  <si>
    <t>S_T</t>
  </si>
  <si>
    <t>Unhedged</t>
  </si>
  <si>
    <t>Forward</t>
  </si>
  <si>
    <t>MoneyMarket</t>
  </si>
  <si>
    <t>PutOnly</t>
  </si>
  <si>
    <t>Collar</t>
  </si>
  <si>
    <t>Summary Comparison</t>
  </si>
  <si>
    <t>Strategy</t>
  </si>
  <si>
    <t>USD Proceeds</t>
  </si>
  <si>
    <t>vs Plan</t>
  </si>
  <si>
    <t>Premium</t>
  </si>
  <si>
    <t>Notes</t>
  </si>
  <si>
    <t>Unhedged (Spot)</t>
  </si>
  <si>
    <t>$0</t>
  </si>
  <si>
    <t>Full exposure</t>
  </si>
  <si>
    <t>Forward Contract</t>
  </si>
  <si>
    <t>Certainty, no upside</t>
  </si>
  <si>
    <t>Money Market</t>
  </si>
  <si>
    <t>Replicates forward</t>
  </si>
  <si>
    <t>Protective Put</t>
  </si>
  <si>
    <t>Floor at K_put</t>
  </si>
  <si>
    <t>Zero-Cost Collar</t>
  </si>
  <si>
    <t>Floor/Cap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</si>
</sst>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C4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Strategy Comparison across Spot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Sensitivity!$C$3</c:f>
              <c:strCache>
                <c:ptCount val="1"/>
                <c:pt idx="0">
                  <c:v>Unhedged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Sensitivity!$A$4:$A$24</c:f>
              <c:numCache>
                <c:formatCode>0%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Sensitivity!$C$4:$C$24</c:f>
              <c:numCache>
                <c:formatCode>"$"#,##0.00</c:formatCode>
                <c:ptCount val="21"/>
                <c:pt idx="0">
                  <c:v>12141724.27149</c:v>
                </c:pt>
                <c:pt idx="1">
                  <c:v>12276632.318951001</c:v>
                </c:pt>
                <c:pt idx="2">
                  <c:v>12411540.366412001</c:v>
                </c:pt>
                <c:pt idx="3">
                  <c:v>12546448.413872998</c:v>
                </c:pt>
                <c:pt idx="4">
                  <c:v>12681356.461333999</c:v>
                </c:pt>
                <c:pt idx="5">
                  <c:v>12816264.508794999</c:v>
                </c:pt>
                <c:pt idx="6">
                  <c:v>12951172.556256</c:v>
                </c:pt>
                <c:pt idx="7">
                  <c:v>13086080.603716999</c:v>
                </c:pt>
                <c:pt idx="8">
                  <c:v>13220988.651178</c:v>
                </c:pt>
                <c:pt idx="9">
                  <c:v>13355896.698638998</c:v>
                </c:pt>
                <c:pt idx="10">
                  <c:v>13490804.746099999</c:v>
                </c:pt>
                <c:pt idx="11">
                  <c:v>13625712.793561</c:v>
                </c:pt>
                <c:pt idx="12">
                  <c:v>13760620.841022</c:v>
                </c:pt>
                <c:pt idx="13">
                  <c:v>13895528.888483001</c:v>
                </c:pt>
                <c:pt idx="14">
                  <c:v>14030436.935944</c:v>
                </c:pt>
                <c:pt idx="15">
                  <c:v>14165344.983405001</c:v>
                </c:pt>
                <c:pt idx="16">
                  <c:v>14300253.030865999</c:v>
                </c:pt>
                <c:pt idx="17">
                  <c:v>14435161.078327</c:v>
                </c:pt>
                <c:pt idx="18">
                  <c:v>14570069.125787999</c:v>
                </c:pt>
                <c:pt idx="19">
                  <c:v>14704977.173249001</c:v>
                </c:pt>
                <c:pt idx="20">
                  <c:v>14839885.220710002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D4E-8EDA-73A9000CBD7C}"/>
            </c:ext>
          </c:extLst>
        </c:ser>
        <c:ser>
          <c:idx val="1"/>
          <c:order val="1"/>
          <c:tx>
            <c:strRef>
              <c:f>Sensitivity!$D$3</c:f>
              <c:strCache>
                <c:ptCount val="1"/>
                <c:pt idx="0">
                  <c:v>Forward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Sensitivity!$A$4:$A$24</c:f>
              <c:numCache>
                <c:formatCode>0%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Sensitivity!$D$4:$D$24</c:f>
              <c:numCache>
                <c:formatCode>"$"#,##0.00</c:formatCode>
                <c:ptCount val="21"/>
                <c:pt idx="0">
                  <c:v>13720689.8061</c:v>
                </c:pt>
                <c:pt idx="1">
                  <c:v>13720689.8061</c:v>
                </c:pt>
                <c:pt idx="2">
                  <c:v>13720689.8061</c:v>
                </c:pt>
                <c:pt idx="3">
                  <c:v>13720689.8061</c:v>
                </c:pt>
                <c:pt idx="4">
                  <c:v>13720689.8061</c:v>
                </c:pt>
                <c:pt idx="5">
                  <c:v>13720689.8061</c:v>
                </c:pt>
                <c:pt idx="6">
                  <c:v>13720689.8061</c:v>
                </c:pt>
                <c:pt idx="7">
                  <c:v>13720689.8061</c:v>
                </c:pt>
                <c:pt idx="8">
                  <c:v>13720689.8061</c:v>
                </c:pt>
                <c:pt idx="9">
                  <c:v>13720689.8061</c:v>
                </c:pt>
                <c:pt idx="10">
                  <c:v>13720689.8061</c:v>
                </c:pt>
                <c:pt idx="11">
                  <c:v>13720689.8061</c:v>
                </c:pt>
                <c:pt idx="12">
                  <c:v>13720689.8061</c:v>
                </c:pt>
                <c:pt idx="13">
                  <c:v>13720689.8061</c:v>
                </c:pt>
                <c:pt idx="14">
                  <c:v>13720689.8061</c:v>
                </c:pt>
                <c:pt idx="15">
                  <c:v>13720689.8061</c:v>
                </c:pt>
                <c:pt idx="16">
                  <c:v>13720689.8061</c:v>
                </c:pt>
                <c:pt idx="17">
                  <c:v>13720689.8061</c:v>
                </c:pt>
                <c:pt idx="18">
                  <c:v>13720689.8061</c:v>
                </c:pt>
                <c:pt idx="19">
                  <c:v>13720689.8061</c:v>
                </c:pt>
                <c:pt idx="20">
                  <c:v>13720689.8061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D4E-8EDA-73A9000CBD7C}"/>
            </c:ext>
          </c:extLst>
        </c:ser>
        <c:ser>
          <c:idx val="2"/>
          <c:order val="2"/>
          <c:tx>
            <c:strRef>
              <c:f>Sensitivity!$E$3</c:f>
              <c:strCache>
                <c:ptCount val="1"/>
                <c:pt idx="0">
                  <c:v>MoneyMarket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Sensitivity!$A$4:$A$24</c:f>
              <c:numCache>
                <c:formatCode>0%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Sensitivity!$E$4:$E$24</c:f>
              <c:numCache>
                <c:formatCode>"$"#,##0.00</c:formatCode>
                <c:ptCount val="21"/>
                <c:pt idx="0">
                  <c:v>13690443.271840995</c:v>
                </c:pt>
                <c:pt idx="1">
                  <c:v>13690443.271840995</c:v>
                </c:pt>
                <c:pt idx="2">
                  <c:v>13690443.271840995</c:v>
                </c:pt>
                <c:pt idx="3">
                  <c:v>13690443.271840995</c:v>
                </c:pt>
                <c:pt idx="4">
                  <c:v>13690443.271840995</c:v>
                </c:pt>
                <c:pt idx="5">
                  <c:v>13690443.271840995</c:v>
                </c:pt>
                <c:pt idx="6">
                  <c:v>13690443.271840995</c:v>
                </c:pt>
                <c:pt idx="7">
                  <c:v>13690443.271840995</c:v>
                </c:pt>
                <c:pt idx="8">
                  <c:v>13690443.271840995</c:v>
                </c:pt>
                <c:pt idx="9">
                  <c:v>13690443.271840995</c:v>
                </c:pt>
                <c:pt idx="10">
                  <c:v>13690443.271840995</c:v>
                </c:pt>
                <c:pt idx="11">
                  <c:v>13690443.271840995</c:v>
                </c:pt>
                <c:pt idx="12">
                  <c:v>13690443.271840995</c:v>
                </c:pt>
                <c:pt idx="13">
                  <c:v>13690443.271840995</c:v>
                </c:pt>
                <c:pt idx="14">
                  <c:v>13690443.271840995</c:v>
                </c:pt>
                <c:pt idx="15">
                  <c:v>13690443.271840995</c:v>
                </c:pt>
                <c:pt idx="16">
                  <c:v>13690443.271840995</c:v>
                </c:pt>
                <c:pt idx="17">
                  <c:v>13690443.271840995</c:v>
                </c:pt>
                <c:pt idx="18">
                  <c:v>13690443.271840995</c:v>
                </c:pt>
                <c:pt idx="19">
                  <c:v>13690443.271840995</c:v>
                </c:pt>
                <c:pt idx="20">
                  <c:v>13690443.271840995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D4E-8EDA-73A9000CBD7C}"/>
            </c:ext>
          </c:extLst>
        </c:ser>
        <c:ser>
          <c:idx val="3"/>
          <c:order val="3"/>
          <c:tx>
            <c:strRef>
              <c:f>Sensitivity!$F$3</c:f>
              <c:strCache>
                <c:ptCount val="1"/>
                <c:pt idx="0">
                  <c:v>PutOnly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Sensitivity!$A$4:$A$24</c:f>
              <c:numCache>
                <c:formatCode>0%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Sensitivity!$F$4:$F$24</c:f>
              <c:numCache>
                <c:formatCode>"$"#,##0.00</c:formatCode>
                <c:ptCount val="21"/>
                <c:pt idx="0">
                  <c:v>12333333.469000001</c:v>
                </c:pt>
                <c:pt idx="1">
                  <c:v>12333333.469000001</c:v>
                </c:pt>
                <c:pt idx="2">
                  <c:v>12333333.469000001</c:v>
                </c:pt>
                <c:pt idx="3">
                  <c:v>12351046.112872997</c:v>
                </c:pt>
                <c:pt idx="4">
                  <c:v>12485954.160333999</c:v>
                </c:pt>
                <c:pt idx="5">
                  <c:v>12620862.207794998</c:v>
                </c:pt>
                <c:pt idx="6">
                  <c:v>12755770.255255999</c:v>
                </c:pt>
                <c:pt idx="7">
                  <c:v>12890678.302716998</c:v>
                </c:pt>
                <c:pt idx="8">
                  <c:v>13025586.350178</c:v>
                </c:pt>
                <c:pt idx="9">
                  <c:v>13160494.397638997</c:v>
                </c:pt>
                <c:pt idx="10">
                  <c:v>13295402.445099998</c:v>
                </c:pt>
                <c:pt idx="11">
                  <c:v>13430310.492560999</c:v>
                </c:pt>
                <c:pt idx="12">
                  <c:v>13565218.540021999</c:v>
                </c:pt>
                <c:pt idx="13">
                  <c:v>13700126.587483</c:v>
                </c:pt>
                <c:pt idx="14">
                  <c:v>13835034.634943999</c:v>
                </c:pt>
                <c:pt idx="15">
                  <c:v>13969942.682405001</c:v>
                </c:pt>
                <c:pt idx="16">
                  <c:v>14104850.729865998</c:v>
                </c:pt>
                <c:pt idx="17">
                  <c:v>14239758.777326999</c:v>
                </c:pt>
                <c:pt idx="18">
                  <c:v>14374666.824787999</c:v>
                </c:pt>
                <c:pt idx="19">
                  <c:v>14509574.872249</c:v>
                </c:pt>
                <c:pt idx="20">
                  <c:v>14644482.919710001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D4E-8EDA-73A9000CBD7C}"/>
            </c:ext>
          </c:extLst>
        </c:ser>
        <c:ser>
          <c:idx val="4"/>
          <c:order val="4"/>
          <c:tx>
            <c:strRef>
              <c:f>Sensitivity!$G$3</c:f>
              <c:strCache>
                <c:ptCount val="1"/>
                <c:pt idx="0">
                  <c:v>Collar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Sensitivity!$A$4:$A$24</c:f>
              <c:numCache>
                <c:formatCode>0%</c:formatCode>
                <c:ptCount val="21"/>
                <c:pt idx="0">
                  <c:v>-0.1</c:v>
                </c:pt>
                <c:pt idx="1">
                  <c:v>-0.09</c:v>
                </c:pt>
                <c:pt idx="2">
                  <c:v>-0.08</c:v>
                </c:pt>
                <c:pt idx="3">
                  <c:v>-7.0000000000000007E-2</c:v>
                </c:pt>
                <c:pt idx="4">
                  <c:v>-0.06</c:v>
                </c:pt>
                <c:pt idx="5">
                  <c:v>-0.05</c:v>
                </c:pt>
                <c:pt idx="6">
                  <c:v>-0.04</c:v>
                </c:pt>
                <c:pt idx="7">
                  <c:v>-0.03</c:v>
                </c:pt>
                <c:pt idx="8">
                  <c:v>-0.02</c:v>
                </c:pt>
                <c:pt idx="9">
                  <c:v>-0.01</c:v>
                </c:pt>
                <c:pt idx="10">
                  <c:v>0</c:v>
                </c:pt>
                <c:pt idx="11">
                  <c:v>0.01</c:v>
                </c:pt>
                <c:pt idx="12">
                  <c:v>0.02</c:v>
                </c:pt>
                <c:pt idx="13">
                  <c:v>0.03</c:v>
                </c:pt>
                <c:pt idx="14">
                  <c:v>0.04</c:v>
                </c:pt>
                <c:pt idx="15">
                  <c:v>0.05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0.08</c:v>
                </c:pt>
                <c:pt idx="19">
                  <c:v>0.09</c:v>
                </c:pt>
                <c:pt idx="20">
                  <c:v>0.1</c:v>
                </c:pt>
              </c:numCache>
            </c:numRef>
          </c:cat>
          <c:val>
            <c:numRef>
              <c:f>Sensitivity!$G$4:$G$24</c:f>
              <c:numCache>
                <c:formatCode>"$"#,##0.00</c:formatCode>
                <c:ptCount val="21"/>
                <c:pt idx="0">
                  <c:v>12471264.505000001</c:v>
                </c:pt>
                <c:pt idx="1">
                  <c:v>12471264.505000001</c:v>
                </c:pt>
                <c:pt idx="2">
                  <c:v>12471264.505000001</c:v>
                </c:pt>
                <c:pt idx="3">
                  <c:v>12488977.148872998</c:v>
                </c:pt>
                <c:pt idx="4">
                  <c:v>12623885.196333999</c:v>
                </c:pt>
                <c:pt idx="5">
                  <c:v>12758793.243794998</c:v>
                </c:pt>
                <c:pt idx="6">
                  <c:v>12893701.291255999</c:v>
                </c:pt>
                <c:pt idx="7">
                  <c:v>12931034.624999998</c:v>
                </c:pt>
                <c:pt idx="8">
                  <c:v>12931034.624999998</c:v>
                </c:pt>
                <c:pt idx="9">
                  <c:v>12931034.624999998</c:v>
                </c:pt>
                <c:pt idx="10">
                  <c:v>12931034.624999998</c:v>
                </c:pt>
                <c:pt idx="11">
                  <c:v>12931034.624999998</c:v>
                </c:pt>
                <c:pt idx="12">
                  <c:v>12931034.624999998</c:v>
                </c:pt>
                <c:pt idx="13">
                  <c:v>12931034.624999998</c:v>
                </c:pt>
                <c:pt idx="14">
                  <c:v>12931034.624999998</c:v>
                </c:pt>
                <c:pt idx="15">
                  <c:v>12931034.624999998</c:v>
                </c:pt>
                <c:pt idx="16">
                  <c:v>12931034.624999998</c:v>
                </c:pt>
                <c:pt idx="17">
                  <c:v>12931034.624999998</c:v>
                </c:pt>
                <c:pt idx="18">
                  <c:v>12931034.624999998</c:v>
                </c:pt>
                <c:pt idx="19">
                  <c:v>12931034.624999998</c:v>
                </c:pt>
                <c:pt idx="20">
                  <c:v>12931034.624999998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D4E-8EDA-73A9000C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588336"/>
        <c:axId val="777066527"/>
      </c:lineChart>
      <c:catAx>
        <c:axId val="74958833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66527"/>
        <c:crosses val="autoZero"/>
        <c:auto val="1"/>
        <c:lblAlgn val="ctr"/>
        <c:lblOffset val="100"/>
        <c:noMultiLvlLbl val="0"/>
      </c:catAx>
      <c:valAx>
        <c:axId val="777066527"/>
        <c:scaling>
          <c:orientation val="minMax"/>
          <c:min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2</xdr:row>
      <xdr:rowOff>0</xdr:rowOff>
    </xdr:from>
    <xdr:to>
      <xdr:col>18</xdr:col>
      <xdr:colOff>508000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F2601-F189-A97C-56EF-F330CF587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31" sqref="B31"/>
    </sheetView>
  </sheetViews>
  <sheetFormatPr baseColWidth="10" defaultColWidth="8.83203125" defaultRowHeight="15" x14ac:dyDescent="0.2"/>
  <cols>
    <col min="1" max="7" width="18" customWidth="1"/>
  </cols>
  <sheetData>
    <row r="1" spans="1:2" x14ac:dyDescent="0.2">
      <c r="A1" s="1" t="s">
        <v>0</v>
      </c>
      <c r="B1" s="2">
        <v>11494253</v>
      </c>
    </row>
    <row r="2" spans="1:2" x14ac:dyDescent="0.2">
      <c r="A2" s="1" t="s">
        <v>1</v>
      </c>
      <c r="B2" s="2">
        <v>1.1737</v>
      </c>
    </row>
    <row r="3" spans="1:2" x14ac:dyDescent="0.2">
      <c r="A3" s="1" t="s">
        <v>2</v>
      </c>
      <c r="B3" s="2">
        <v>1.1937</v>
      </c>
    </row>
    <row r="4" spans="1:2" x14ac:dyDescent="0.2">
      <c r="A4" s="1" t="s">
        <v>3</v>
      </c>
      <c r="B4" s="2">
        <v>3.55</v>
      </c>
    </row>
    <row r="5" spans="1:2" x14ac:dyDescent="0.2">
      <c r="A5" s="1" t="s">
        <v>4</v>
      </c>
      <c r="B5" s="2">
        <v>2.04</v>
      </c>
    </row>
    <row r="6" spans="1:2" x14ac:dyDescent="0.2">
      <c r="A6" s="1" t="s">
        <v>5</v>
      </c>
      <c r="B6" s="2">
        <v>1</v>
      </c>
    </row>
    <row r="7" spans="1:2" x14ac:dyDescent="0.2">
      <c r="A7" s="1" t="s">
        <v>6</v>
      </c>
      <c r="B7" s="2">
        <v>1.0900000000000001</v>
      </c>
    </row>
    <row r="8" spans="1:2" x14ac:dyDescent="0.2">
      <c r="A8" s="1" t="s">
        <v>7</v>
      </c>
      <c r="B8" s="2">
        <v>1.1299999999999999</v>
      </c>
    </row>
    <row r="9" spans="1:2" x14ac:dyDescent="0.2">
      <c r="A9" s="1" t="s">
        <v>8</v>
      </c>
      <c r="B9" s="2">
        <v>1.7000000000000001E-2</v>
      </c>
    </row>
    <row r="10" spans="1:2" x14ac:dyDescent="0.2">
      <c r="A10" s="1" t="s">
        <v>9</v>
      </c>
      <c r="B10" s="2">
        <v>1.2E-2</v>
      </c>
    </row>
    <row r="11" spans="1:2" x14ac:dyDescent="0.2">
      <c r="A11" s="1" t="s">
        <v>10</v>
      </c>
      <c r="B11" s="2">
        <v>12500000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29" bestFit="1" customWidth="1"/>
    <col min="2" max="7" width="18" customWidth="1"/>
  </cols>
  <sheetData>
    <row r="1" spans="1:2" ht="19" x14ac:dyDescent="0.25">
      <c r="A1" s="3" t="s">
        <v>11</v>
      </c>
    </row>
    <row r="3" spans="1:2" x14ac:dyDescent="0.2">
      <c r="A3" s="4" t="s">
        <v>0</v>
      </c>
      <c r="B3" s="4">
        <f>Inputs!$B$1</f>
        <v>11494253</v>
      </c>
    </row>
    <row r="4" spans="1:2" x14ac:dyDescent="0.2">
      <c r="A4" s="4" t="s">
        <v>2</v>
      </c>
      <c r="B4" s="4">
        <f>Inputs!$B$3</f>
        <v>1.1937</v>
      </c>
    </row>
    <row r="6" spans="1:2" x14ac:dyDescent="0.2">
      <c r="A6" s="4" t="s">
        <v>12</v>
      </c>
      <c r="B6" s="5">
        <f>B3*B4</f>
        <v>13720689.8061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9" sqref="C9"/>
    </sheetView>
  </sheetViews>
  <sheetFormatPr baseColWidth="10" defaultColWidth="8.83203125" defaultRowHeight="15" x14ac:dyDescent="0.2"/>
  <cols>
    <col min="1" max="1" width="24.83203125" bestFit="1" customWidth="1"/>
    <col min="2" max="2" width="18" customWidth="1"/>
    <col min="3" max="3" width="26" bestFit="1" customWidth="1"/>
    <col min="4" max="7" width="18" customWidth="1"/>
  </cols>
  <sheetData>
    <row r="1" spans="1:3" ht="19" x14ac:dyDescent="0.25">
      <c r="A1" s="3" t="s">
        <v>13</v>
      </c>
    </row>
    <row r="3" spans="1:3" x14ac:dyDescent="0.2">
      <c r="A3" s="6" t="s">
        <v>14</v>
      </c>
      <c r="B3" s="6" t="s">
        <v>15</v>
      </c>
      <c r="C3" s="6" t="s">
        <v>16</v>
      </c>
    </row>
    <row r="4" spans="1:3" x14ac:dyDescent="0.2">
      <c r="A4" s="4" t="s">
        <v>17</v>
      </c>
      <c r="B4" s="7">
        <f>Inputs!$B$1 / (1 + Inputs!$B$5/100 * Inputs!$B$6)</f>
        <v>11264458.055664446</v>
      </c>
      <c r="C4" s="8" t="s">
        <v>18</v>
      </c>
    </row>
    <row r="5" spans="1:3" x14ac:dyDescent="0.2">
      <c r="A5" s="4" t="s">
        <v>19</v>
      </c>
      <c r="B5" s="5">
        <f>B4 * Inputs!$B$2</f>
        <v>13221094.41993336</v>
      </c>
      <c r="C5" s="8" t="s">
        <v>20</v>
      </c>
    </row>
    <row r="6" spans="1:3" x14ac:dyDescent="0.2">
      <c r="A6" s="4" t="s">
        <v>21</v>
      </c>
      <c r="B6" s="5">
        <f>B5 * (1 + Inputs!$B$4/100 * Inputs!$B$6)</f>
        <v>13690443.271840995</v>
      </c>
      <c r="C6" s="8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24.33203125" bestFit="1" customWidth="1"/>
    <col min="2" max="7" width="18" customWidth="1"/>
  </cols>
  <sheetData>
    <row r="1" spans="1:2" ht="19" x14ac:dyDescent="0.25">
      <c r="A1" s="3" t="s">
        <v>23</v>
      </c>
    </row>
    <row r="3" spans="1:2" x14ac:dyDescent="0.2">
      <c r="A3" s="4" t="s">
        <v>24</v>
      </c>
      <c r="B3" s="5">
        <f>Inputs!$B$1 * Inputs!$B$9</f>
        <v>195402.30100000001</v>
      </c>
    </row>
    <row r="4" spans="1:2" x14ac:dyDescent="0.2">
      <c r="A4" s="4" t="s">
        <v>25</v>
      </c>
      <c r="B4" s="5">
        <f>Inputs!$B$1 * Inputs!$B$10</f>
        <v>137931.03599999999</v>
      </c>
    </row>
    <row r="5" spans="1:2" x14ac:dyDescent="0.2">
      <c r="A5" s="4" t="s">
        <v>26</v>
      </c>
      <c r="B5" s="5">
        <f>B3 - B4</f>
        <v>57471.265000000014</v>
      </c>
    </row>
    <row r="7" spans="1:2" x14ac:dyDescent="0.2">
      <c r="A7" s="4" t="s">
        <v>27</v>
      </c>
      <c r="B7" s="5">
        <f>Inputs!$B$1*Inputs!$B$2 + Inputs!$B$1*MAX(Inputs!$B$7-Inputs!$B$2,0) - B3</f>
        <v>13295402.445099998</v>
      </c>
    </row>
    <row r="8" spans="1:2" x14ac:dyDescent="0.2">
      <c r="A8" s="4" t="s">
        <v>28</v>
      </c>
      <c r="B8" s="5">
        <f>Inputs!$B$1*Inputs!$B$2 + Inputs!$B$1*MAX(Inputs!$B$7-Inputs!$B$2,0) - Inputs!$B$1*MAX(Inputs!$B$2-Inputs!$B$8,0) - B5</f>
        <v>12931034.624999998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selection activeCell="R30" sqref="R30"/>
    </sheetView>
  </sheetViews>
  <sheetFormatPr baseColWidth="10" defaultColWidth="8.83203125" defaultRowHeight="15" x14ac:dyDescent="0.2"/>
  <cols>
    <col min="1" max="7" width="18" customWidth="1"/>
  </cols>
  <sheetData>
    <row r="1" spans="1:7" ht="19" x14ac:dyDescent="0.25">
      <c r="A1" s="3" t="s">
        <v>29</v>
      </c>
    </row>
    <row r="3" spans="1:7" x14ac:dyDescent="0.2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spans="1:7" x14ac:dyDescent="0.2">
      <c r="A4" s="9">
        <v>-0.1</v>
      </c>
      <c r="B4" s="4">
        <f>Inputs!$B$2*(1+A4)</f>
        <v>1.05633</v>
      </c>
      <c r="C4" s="5">
        <f>Inputs!$B$1*B4</f>
        <v>12141724.27149</v>
      </c>
      <c r="D4" s="5">
        <f>Inputs!$B$1*Inputs!$B$3</f>
        <v>13720689.8061</v>
      </c>
      <c r="E4" s="5">
        <f>MoneyMarket!$B$6</f>
        <v>13690443.271840995</v>
      </c>
      <c r="F4" s="5">
        <f>Inputs!$B$1*B4+Inputs!$B$1*MAX(Inputs!$B$7-B4,0)-Option!$B$3</f>
        <v>12333333.469000001</v>
      </c>
      <c r="G4" s="5">
        <f>Inputs!$B$1*B4+Inputs!$B$1*MAX(Inputs!$B$7-B4,0)-Inputs!$B$1*MAX(B4-Inputs!$B$8,0)-Option!$B$5</f>
        <v>12471264.505000001</v>
      </c>
    </row>
    <row r="5" spans="1:7" x14ac:dyDescent="0.2">
      <c r="A5" s="9">
        <v>-0.09</v>
      </c>
      <c r="B5" s="4">
        <f>Inputs!$B$2*(1+A5)</f>
        <v>1.0680670000000001</v>
      </c>
      <c r="C5" s="5">
        <f>Inputs!$B$1*B5</f>
        <v>12276632.318951001</v>
      </c>
      <c r="D5" s="5">
        <f>Inputs!$B$1*Inputs!$B$3</f>
        <v>13720689.8061</v>
      </c>
      <c r="E5" s="5">
        <f>MoneyMarket!$B$6</f>
        <v>13690443.271840995</v>
      </c>
      <c r="F5" s="5">
        <f>Inputs!$B$1*B5+Inputs!$B$1*MAX(Inputs!$B$7-B5,0)-Option!$B$3</f>
        <v>12333333.469000001</v>
      </c>
      <c r="G5" s="5">
        <f>Inputs!$B$1*B5+Inputs!$B$1*MAX(Inputs!$B$7-B5,0)-Inputs!$B$1*MAX(B5-Inputs!$B$8,0)-Option!$B$5</f>
        <v>12471264.505000001</v>
      </c>
    </row>
    <row r="6" spans="1:7" x14ac:dyDescent="0.2">
      <c r="A6" s="9">
        <v>-0.08</v>
      </c>
      <c r="B6" s="4">
        <f>Inputs!$B$2*(1+A6)</f>
        <v>1.079804</v>
      </c>
      <c r="C6" s="5">
        <f>Inputs!$B$1*B6</f>
        <v>12411540.366412001</v>
      </c>
      <c r="D6" s="5">
        <f>Inputs!$B$1*Inputs!$B$3</f>
        <v>13720689.8061</v>
      </c>
      <c r="E6" s="5">
        <f>MoneyMarket!$B$6</f>
        <v>13690443.271840995</v>
      </c>
      <c r="F6" s="5">
        <f>Inputs!$B$1*B6+Inputs!$B$1*MAX(Inputs!$B$7-B6,0)-Option!$B$3</f>
        <v>12333333.469000001</v>
      </c>
      <c r="G6" s="5">
        <f>Inputs!$B$1*B6+Inputs!$B$1*MAX(Inputs!$B$7-B6,0)-Inputs!$B$1*MAX(B6-Inputs!$B$8,0)-Option!$B$5</f>
        <v>12471264.505000001</v>
      </c>
    </row>
    <row r="7" spans="1:7" x14ac:dyDescent="0.2">
      <c r="A7" s="9">
        <v>-7.0000000000000007E-2</v>
      </c>
      <c r="B7" s="4">
        <f>Inputs!$B$2*(1+A7)</f>
        <v>1.0915409999999999</v>
      </c>
      <c r="C7" s="5">
        <f>Inputs!$B$1*B7</f>
        <v>12546448.413872998</v>
      </c>
      <c r="D7" s="5">
        <f>Inputs!$B$1*Inputs!$B$3</f>
        <v>13720689.8061</v>
      </c>
      <c r="E7" s="5">
        <f>MoneyMarket!$B$6</f>
        <v>13690443.271840995</v>
      </c>
      <c r="F7" s="5">
        <f>Inputs!$B$1*B7+Inputs!$B$1*MAX(Inputs!$B$7-B7,0)-Option!$B$3</f>
        <v>12351046.112872997</v>
      </c>
      <c r="G7" s="5">
        <f>Inputs!$B$1*B7+Inputs!$B$1*MAX(Inputs!$B$7-B7,0)-Inputs!$B$1*MAX(B7-Inputs!$B$8,0)-Option!$B$5</f>
        <v>12488977.148872998</v>
      </c>
    </row>
    <row r="8" spans="1:7" x14ac:dyDescent="0.2">
      <c r="A8" s="9">
        <v>-0.06</v>
      </c>
      <c r="B8" s="4">
        <f>Inputs!$B$2*(1+A8)</f>
        <v>1.103278</v>
      </c>
      <c r="C8" s="5">
        <f>Inputs!$B$1*B8</f>
        <v>12681356.461333999</v>
      </c>
      <c r="D8" s="5">
        <f>Inputs!$B$1*Inputs!$B$3</f>
        <v>13720689.8061</v>
      </c>
      <c r="E8" s="5">
        <f>MoneyMarket!$B$6</f>
        <v>13690443.271840995</v>
      </c>
      <c r="F8" s="5">
        <f>Inputs!$B$1*B8+Inputs!$B$1*MAX(Inputs!$B$7-B8,0)-Option!$B$3</f>
        <v>12485954.160333999</v>
      </c>
      <c r="G8" s="5">
        <f>Inputs!$B$1*B8+Inputs!$B$1*MAX(Inputs!$B$7-B8,0)-Inputs!$B$1*MAX(B8-Inputs!$B$8,0)-Option!$B$5</f>
        <v>12623885.196333999</v>
      </c>
    </row>
    <row r="9" spans="1:7" x14ac:dyDescent="0.2">
      <c r="A9" s="9">
        <v>-0.05</v>
      </c>
      <c r="B9" s="4">
        <f>Inputs!$B$2*(1+A9)</f>
        <v>1.1150149999999999</v>
      </c>
      <c r="C9" s="5">
        <f>Inputs!$B$1*B9</f>
        <v>12816264.508794999</v>
      </c>
      <c r="D9" s="5">
        <f>Inputs!$B$1*Inputs!$B$3</f>
        <v>13720689.8061</v>
      </c>
      <c r="E9" s="5">
        <f>MoneyMarket!$B$6</f>
        <v>13690443.271840995</v>
      </c>
      <c r="F9" s="5">
        <f>Inputs!$B$1*B9+Inputs!$B$1*MAX(Inputs!$B$7-B9,0)-Option!$B$3</f>
        <v>12620862.207794998</v>
      </c>
      <c r="G9" s="5">
        <f>Inputs!$B$1*B9+Inputs!$B$1*MAX(Inputs!$B$7-B9,0)-Inputs!$B$1*MAX(B9-Inputs!$B$8,0)-Option!$B$5</f>
        <v>12758793.243794998</v>
      </c>
    </row>
    <row r="10" spans="1:7" x14ac:dyDescent="0.2">
      <c r="A10" s="9">
        <v>-0.04</v>
      </c>
      <c r="B10" s="4">
        <f>Inputs!$B$2*(1+A10)</f>
        <v>1.126752</v>
      </c>
      <c r="C10" s="5">
        <f>Inputs!$B$1*B10</f>
        <v>12951172.556256</v>
      </c>
      <c r="D10" s="5">
        <f>Inputs!$B$1*Inputs!$B$3</f>
        <v>13720689.8061</v>
      </c>
      <c r="E10" s="5">
        <f>MoneyMarket!$B$6</f>
        <v>13690443.271840995</v>
      </c>
      <c r="F10" s="5">
        <f>Inputs!$B$1*B10+Inputs!$B$1*MAX(Inputs!$B$7-B10,0)-Option!$B$3</f>
        <v>12755770.255255999</v>
      </c>
      <c r="G10" s="5">
        <f>Inputs!$B$1*B10+Inputs!$B$1*MAX(Inputs!$B$7-B10,0)-Inputs!$B$1*MAX(B10-Inputs!$B$8,0)-Option!$B$5</f>
        <v>12893701.291255999</v>
      </c>
    </row>
    <row r="11" spans="1:7" x14ac:dyDescent="0.2">
      <c r="A11" s="9">
        <v>-0.03</v>
      </c>
      <c r="B11" s="4">
        <f>Inputs!$B$2*(1+A11)</f>
        <v>1.1384889999999999</v>
      </c>
      <c r="C11" s="5">
        <f>Inputs!$B$1*B11</f>
        <v>13086080.603716999</v>
      </c>
      <c r="D11" s="5">
        <f>Inputs!$B$1*Inputs!$B$3</f>
        <v>13720689.8061</v>
      </c>
      <c r="E11" s="5">
        <f>MoneyMarket!$B$6</f>
        <v>13690443.271840995</v>
      </c>
      <c r="F11" s="5">
        <f>Inputs!$B$1*B11+Inputs!$B$1*MAX(Inputs!$B$7-B11,0)-Option!$B$3</f>
        <v>12890678.302716998</v>
      </c>
      <c r="G11" s="5">
        <f>Inputs!$B$1*B11+Inputs!$B$1*MAX(Inputs!$B$7-B11,0)-Inputs!$B$1*MAX(B11-Inputs!$B$8,0)-Option!$B$5</f>
        <v>12931034.624999998</v>
      </c>
    </row>
    <row r="12" spans="1:7" x14ac:dyDescent="0.2">
      <c r="A12" s="9">
        <v>-0.02</v>
      </c>
      <c r="B12" s="4">
        <f>Inputs!$B$2*(1+A12)</f>
        <v>1.150226</v>
      </c>
      <c r="C12" s="5">
        <f>Inputs!$B$1*B12</f>
        <v>13220988.651178</v>
      </c>
      <c r="D12" s="5">
        <f>Inputs!$B$1*Inputs!$B$3</f>
        <v>13720689.8061</v>
      </c>
      <c r="E12" s="5">
        <f>MoneyMarket!$B$6</f>
        <v>13690443.271840995</v>
      </c>
      <c r="F12" s="5">
        <f>Inputs!$B$1*B12+Inputs!$B$1*MAX(Inputs!$B$7-B12,0)-Option!$B$3</f>
        <v>13025586.350178</v>
      </c>
      <c r="G12" s="5">
        <f>Inputs!$B$1*B12+Inputs!$B$1*MAX(Inputs!$B$7-B12,0)-Inputs!$B$1*MAX(B12-Inputs!$B$8,0)-Option!$B$5</f>
        <v>12931034.624999998</v>
      </c>
    </row>
    <row r="13" spans="1:7" x14ac:dyDescent="0.2">
      <c r="A13" s="9">
        <v>-0.01</v>
      </c>
      <c r="B13" s="4">
        <f>Inputs!$B$2*(1+A13)</f>
        <v>1.1619629999999999</v>
      </c>
      <c r="C13" s="5">
        <f>Inputs!$B$1*B13</f>
        <v>13355896.698638998</v>
      </c>
      <c r="D13" s="5">
        <f>Inputs!$B$1*Inputs!$B$3</f>
        <v>13720689.8061</v>
      </c>
      <c r="E13" s="5">
        <f>MoneyMarket!$B$6</f>
        <v>13690443.271840995</v>
      </c>
      <c r="F13" s="5">
        <f>Inputs!$B$1*B13+Inputs!$B$1*MAX(Inputs!$B$7-B13,0)-Option!$B$3</f>
        <v>13160494.397638997</v>
      </c>
      <c r="G13" s="5">
        <f>Inputs!$B$1*B13+Inputs!$B$1*MAX(Inputs!$B$7-B13,0)-Inputs!$B$1*MAX(B13-Inputs!$B$8,0)-Option!$B$5</f>
        <v>12931034.624999998</v>
      </c>
    </row>
    <row r="14" spans="1:7" x14ac:dyDescent="0.2">
      <c r="A14" s="9">
        <v>0</v>
      </c>
      <c r="B14" s="4">
        <f>Inputs!$B$2*(1+A14)</f>
        <v>1.1737</v>
      </c>
      <c r="C14" s="5">
        <f>Inputs!$B$1*B14</f>
        <v>13490804.746099999</v>
      </c>
      <c r="D14" s="5">
        <f>Inputs!$B$1*Inputs!$B$3</f>
        <v>13720689.8061</v>
      </c>
      <c r="E14" s="5">
        <f>MoneyMarket!$B$6</f>
        <v>13690443.271840995</v>
      </c>
      <c r="F14" s="5">
        <f>Inputs!$B$1*B14+Inputs!$B$1*MAX(Inputs!$B$7-B14,0)-Option!$B$3</f>
        <v>13295402.445099998</v>
      </c>
      <c r="G14" s="5">
        <f>Inputs!$B$1*B14+Inputs!$B$1*MAX(Inputs!$B$7-B14,0)-Inputs!$B$1*MAX(B14-Inputs!$B$8,0)-Option!$B$5</f>
        <v>12931034.624999998</v>
      </c>
    </row>
    <row r="15" spans="1:7" x14ac:dyDescent="0.2">
      <c r="A15" s="9">
        <v>0.01</v>
      </c>
      <c r="B15" s="4">
        <f>Inputs!$B$2*(1+A15)</f>
        <v>1.1854370000000001</v>
      </c>
      <c r="C15" s="5">
        <f>Inputs!$B$1*B15</f>
        <v>13625712.793561</v>
      </c>
      <c r="D15" s="5">
        <f>Inputs!$B$1*Inputs!$B$3</f>
        <v>13720689.8061</v>
      </c>
      <c r="E15" s="5">
        <f>MoneyMarket!$B$6</f>
        <v>13690443.271840995</v>
      </c>
      <c r="F15" s="5">
        <f>Inputs!$B$1*B15+Inputs!$B$1*MAX(Inputs!$B$7-B15,0)-Option!$B$3</f>
        <v>13430310.492560999</v>
      </c>
      <c r="G15" s="5">
        <f>Inputs!$B$1*B15+Inputs!$B$1*MAX(Inputs!$B$7-B15,0)-Inputs!$B$1*MAX(B15-Inputs!$B$8,0)-Option!$B$5</f>
        <v>12931034.624999998</v>
      </c>
    </row>
    <row r="16" spans="1:7" x14ac:dyDescent="0.2">
      <c r="A16" s="9">
        <v>0.02</v>
      </c>
      <c r="B16" s="4">
        <f>Inputs!$B$2*(1+A16)</f>
        <v>1.197174</v>
      </c>
      <c r="C16" s="5">
        <f>Inputs!$B$1*B16</f>
        <v>13760620.841022</v>
      </c>
      <c r="D16" s="5">
        <f>Inputs!$B$1*Inputs!$B$3</f>
        <v>13720689.8061</v>
      </c>
      <c r="E16" s="5">
        <f>MoneyMarket!$B$6</f>
        <v>13690443.271840995</v>
      </c>
      <c r="F16" s="5">
        <f>Inputs!$B$1*B16+Inputs!$B$1*MAX(Inputs!$B$7-B16,0)-Option!$B$3</f>
        <v>13565218.540021999</v>
      </c>
      <c r="G16" s="5">
        <f>Inputs!$B$1*B16+Inputs!$B$1*MAX(Inputs!$B$7-B16,0)-Inputs!$B$1*MAX(B16-Inputs!$B$8,0)-Option!$B$5</f>
        <v>12931034.624999998</v>
      </c>
    </row>
    <row r="17" spans="1:7" x14ac:dyDescent="0.2">
      <c r="A17" s="9">
        <v>0.03</v>
      </c>
      <c r="B17" s="4">
        <f>Inputs!$B$2*(1+A17)</f>
        <v>1.2089110000000001</v>
      </c>
      <c r="C17" s="5">
        <f>Inputs!$B$1*B17</f>
        <v>13895528.888483001</v>
      </c>
      <c r="D17" s="5">
        <f>Inputs!$B$1*Inputs!$B$3</f>
        <v>13720689.8061</v>
      </c>
      <c r="E17" s="5">
        <f>MoneyMarket!$B$6</f>
        <v>13690443.271840995</v>
      </c>
      <c r="F17" s="5">
        <f>Inputs!$B$1*B17+Inputs!$B$1*MAX(Inputs!$B$7-B17,0)-Option!$B$3</f>
        <v>13700126.587483</v>
      </c>
      <c r="G17" s="5">
        <f>Inputs!$B$1*B17+Inputs!$B$1*MAX(Inputs!$B$7-B17,0)-Inputs!$B$1*MAX(B17-Inputs!$B$8,0)-Option!$B$5</f>
        <v>12931034.624999998</v>
      </c>
    </row>
    <row r="18" spans="1:7" x14ac:dyDescent="0.2">
      <c r="A18" s="9">
        <v>0.04</v>
      </c>
      <c r="B18" s="4">
        <f>Inputs!$B$2*(1+A18)</f>
        <v>1.220648</v>
      </c>
      <c r="C18" s="5">
        <f>Inputs!$B$1*B18</f>
        <v>14030436.935944</v>
      </c>
      <c r="D18" s="5">
        <f>Inputs!$B$1*Inputs!$B$3</f>
        <v>13720689.8061</v>
      </c>
      <c r="E18" s="5">
        <f>MoneyMarket!$B$6</f>
        <v>13690443.271840995</v>
      </c>
      <c r="F18" s="5">
        <f>Inputs!$B$1*B18+Inputs!$B$1*MAX(Inputs!$B$7-B18,0)-Option!$B$3</f>
        <v>13835034.634943999</v>
      </c>
      <c r="G18" s="5">
        <f>Inputs!$B$1*B18+Inputs!$B$1*MAX(Inputs!$B$7-B18,0)-Inputs!$B$1*MAX(B18-Inputs!$B$8,0)-Option!$B$5</f>
        <v>12931034.624999998</v>
      </c>
    </row>
    <row r="19" spans="1:7" x14ac:dyDescent="0.2">
      <c r="A19" s="9">
        <v>0.05</v>
      </c>
      <c r="B19" s="4">
        <f>Inputs!$B$2*(1+A19)</f>
        <v>1.2323850000000001</v>
      </c>
      <c r="C19" s="5">
        <f>Inputs!$B$1*B19</f>
        <v>14165344.983405001</v>
      </c>
      <c r="D19" s="5">
        <f>Inputs!$B$1*Inputs!$B$3</f>
        <v>13720689.8061</v>
      </c>
      <c r="E19" s="5">
        <f>MoneyMarket!$B$6</f>
        <v>13690443.271840995</v>
      </c>
      <c r="F19" s="5">
        <f>Inputs!$B$1*B19+Inputs!$B$1*MAX(Inputs!$B$7-B19,0)-Option!$B$3</f>
        <v>13969942.682405001</v>
      </c>
      <c r="G19" s="5">
        <f>Inputs!$B$1*B19+Inputs!$B$1*MAX(Inputs!$B$7-B19,0)-Inputs!$B$1*MAX(B19-Inputs!$B$8,0)-Option!$B$5</f>
        <v>12931034.624999998</v>
      </c>
    </row>
    <row r="20" spans="1:7" x14ac:dyDescent="0.2">
      <c r="A20" s="9">
        <v>0.06</v>
      </c>
      <c r="B20" s="4">
        <f>Inputs!$B$2*(1+A20)</f>
        <v>1.244122</v>
      </c>
      <c r="C20" s="5">
        <f>Inputs!$B$1*B20</f>
        <v>14300253.030865999</v>
      </c>
      <c r="D20" s="5">
        <f>Inputs!$B$1*Inputs!$B$3</f>
        <v>13720689.8061</v>
      </c>
      <c r="E20" s="5">
        <f>MoneyMarket!$B$6</f>
        <v>13690443.271840995</v>
      </c>
      <c r="F20" s="5">
        <f>Inputs!$B$1*B20+Inputs!$B$1*MAX(Inputs!$B$7-B20,0)-Option!$B$3</f>
        <v>14104850.729865998</v>
      </c>
      <c r="G20" s="5">
        <f>Inputs!$B$1*B20+Inputs!$B$1*MAX(Inputs!$B$7-B20,0)-Inputs!$B$1*MAX(B20-Inputs!$B$8,0)-Option!$B$5</f>
        <v>12931034.624999998</v>
      </c>
    </row>
    <row r="21" spans="1:7" x14ac:dyDescent="0.2">
      <c r="A21" s="9">
        <v>7.0000000000000007E-2</v>
      </c>
      <c r="B21" s="4">
        <f>Inputs!$B$2*(1+A21)</f>
        <v>1.2558590000000001</v>
      </c>
      <c r="C21" s="5">
        <f>Inputs!$B$1*B21</f>
        <v>14435161.078327</v>
      </c>
      <c r="D21" s="5">
        <f>Inputs!$B$1*Inputs!$B$3</f>
        <v>13720689.8061</v>
      </c>
      <c r="E21" s="5">
        <f>MoneyMarket!$B$6</f>
        <v>13690443.271840995</v>
      </c>
      <c r="F21" s="5">
        <f>Inputs!$B$1*B21+Inputs!$B$1*MAX(Inputs!$B$7-B21,0)-Option!$B$3</f>
        <v>14239758.777326999</v>
      </c>
      <c r="G21" s="5">
        <f>Inputs!$B$1*B21+Inputs!$B$1*MAX(Inputs!$B$7-B21,0)-Inputs!$B$1*MAX(B21-Inputs!$B$8,0)-Option!$B$5</f>
        <v>12931034.624999998</v>
      </c>
    </row>
    <row r="22" spans="1:7" x14ac:dyDescent="0.2">
      <c r="A22" s="9">
        <v>0.08</v>
      </c>
      <c r="B22" s="4">
        <f>Inputs!$B$2*(1+A22)</f>
        <v>1.2675959999999999</v>
      </c>
      <c r="C22" s="5">
        <f>Inputs!$B$1*B22</f>
        <v>14570069.125787999</v>
      </c>
      <c r="D22" s="5">
        <f>Inputs!$B$1*Inputs!$B$3</f>
        <v>13720689.8061</v>
      </c>
      <c r="E22" s="5">
        <f>MoneyMarket!$B$6</f>
        <v>13690443.271840995</v>
      </c>
      <c r="F22" s="5">
        <f>Inputs!$B$1*B22+Inputs!$B$1*MAX(Inputs!$B$7-B22,0)-Option!$B$3</f>
        <v>14374666.824787999</v>
      </c>
      <c r="G22" s="5">
        <f>Inputs!$B$1*B22+Inputs!$B$1*MAX(Inputs!$B$7-B22,0)-Inputs!$B$1*MAX(B22-Inputs!$B$8,0)-Option!$B$5</f>
        <v>12931034.624999998</v>
      </c>
    </row>
    <row r="23" spans="1:7" x14ac:dyDescent="0.2">
      <c r="A23" s="9">
        <v>0.09</v>
      </c>
      <c r="B23" s="4">
        <f>Inputs!$B$2*(1+A23)</f>
        <v>1.2793330000000001</v>
      </c>
      <c r="C23" s="5">
        <f>Inputs!$B$1*B23</f>
        <v>14704977.173249001</v>
      </c>
      <c r="D23" s="5">
        <f>Inputs!$B$1*Inputs!$B$3</f>
        <v>13720689.8061</v>
      </c>
      <c r="E23" s="5">
        <f>MoneyMarket!$B$6</f>
        <v>13690443.271840995</v>
      </c>
      <c r="F23" s="5">
        <f>Inputs!$B$1*B23+Inputs!$B$1*MAX(Inputs!$B$7-B23,0)-Option!$B$3</f>
        <v>14509574.872249</v>
      </c>
      <c r="G23" s="5">
        <f>Inputs!$B$1*B23+Inputs!$B$1*MAX(Inputs!$B$7-B23,0)-Inputs!$B$1*MAX(B23-Inputs!$B$8,0)-Option!$B$5</f>
        <v>12931034.624999998</v>
      </c>
    </row>
    <row r="24" spans="1:7" x14ac:dyDescent="0.2">
      <c r="A24" s="9">
        <v>0.1</v>
      </c>
      <c r="B24" s="4">
        <f>Inputs!$B$2*(1+A24)</f>
        <v>1.2910700000000002</v>
      </c>
      <c r="C24" s="5">
        <f>Inputs!$B$1*B24</f>
        <v>14839885.220710002</v>
      </c>
      <c r="D24" s="5">
        <f>Inputs!$B$1*Inputs!$B$3</f>
        <v>13720689.8061</v>
      </c>
      <c r="E24" s="5">
        <f>MoneyMarket!$B$6</f>
        <v>13690443.271840995</v>
      </c>
      <c r="F24" s="5">
        <f>Inputs!$B$1*B24+Inputs!$B$1*MAX(Inputs!$B$7-B24,0)-Option!$B$3</f>
        <v>14644482.919710001</v>
      </c>
      <c r="G24" s="5">
        <f>Inputs!$B$1*B24+Inputs!$B$1*MAX(Inputs!$B$7-B24,0)-Inputs!$B$1*MAX(B24-Inputs!$B$8,0)-Option!$B$5</f>
        <v>12931034.624999998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tabSelected="1" workbookViewId="0">
      <selection activeCell="F24" sqref="F24"/>
    </sheetView>
  </sheetViews>
  <sheetFormatPr baseColWidth="10" defaultColWidth="8.83203125" defaultRowHeight="15" x14ac:dyDescent="0.2"/>
  <cols>
    <col min="1" max="7" width="18" customWidth="1"/>
  </cols>
  <sheetData>
    <row r="1" spans="1:5" ht="19" x14ac:dyDescent="0.25">
      <c r="A1" s="3" t="s">
        <v>37</v>
      </c>
    </row>
    <row r="3" spans="1:5" x14ac:dyDescent="0.2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</row>
    <row r="4" spans="1:5" x14ac:dyDescent="0.2">
      <c r="A4" s="4" t="s">
        <v>43</v>
      </c>
      <c r="B4" s="5">
        <f>Inputs!$B$1 * Inputs!$B$2</f>
        <v>13490804.746099999</v>
      </c>
      <c r="C4" s="5">
        <f>B4 - Inputs!$B$11</f>
        <v>990804.74609999917</v>
      </c>
      <c r="D4" s="5" t="s">
        <v>44</v>
      </c>
      <c r="E4" s="4" t="s">
        <v>45</v>
      </c>
    </row>
    <row r="5" spans="1:5" x14ac:dyDescent="0.2">
      <c r="A5" s="4" t="s">
        <v>46</v>
      </c>
      <c r="B5" s="5">
        <f>Inputs!$B$1 * Inputs!$B$3</f>
        <v>13720689.8061</v>
      </c>
      <c r="C5" s="5">
        <f>B5 - Inputs!$B$11</f>
        <v>1220689.8060999997</v>
      </c>
      <c r="D5" s="5" t="s">
        <v>44</v>
      </c>
      <c r="E5" s="4" t="s">
        <v>47</v>
      </c>
    </row>
    <row r="6" spans="1:5" x14ac:dyDescent="0.2">
      <c r="A6" s="4" t="s">
        <v>48</v>
      </c>
      <c r="B6" s="5">
        <f>MoneyMarket!$B$6</f>
        <v>13690443.271840995</v>
      </c>
      <c r="C6" s="5">
        <f>B6 - Inputs!$B$11</f>
        <v>1190443.2718409952</v>
      </c>
      <c r="D6" s="5" t="s">
        <v>44</v>
      </c>
      <c r="E6" s="4" t="s">
        <v>49</v>
      </c>
    </row>
    <row r="7" spans="1:5" x14ac:dyDescent="0.2">
      <c r="A7" s="4" t="s">
        <v>50</v>
      </c>
      <c r="B7" s="5">
        <f>Option!$B$7</f>
        <v>13295402.445099998</v>
      </c>
      <c r="C7" s="5">
        <f>B7 - Inputs!$B$11</f>
        <v>795402.44509999827</v>
      </c>
      <c r="D7" s="5">
        <f>Option!$B$3</f>
        <v>195402.30100000001</v>
      </c>
      <c r="E7" s="4" t="s">
        <v>51</v>
      </c>
    </row>
    <row r="8" spans="1:5" x14ac:dyDescent="0.2">
      <c r="A8" s="4" t="s">
        <v>52</v>
      </c>
      <c r="B8" s="5">
        <f>Option!$B$8</f>
        <v>12931034.624999998</v>
      </c>
      <c r="C8" s="5">
        <f>B8 - Inputs!$B$11</f>
        <v>431034.62499999814</v>
      </c>
      <c r="D8" s="5">
        <f>ABS(Option!$B$5)</f>
        <v>57471.265000000014</v>
      </c>
      <c r="E8" s="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Forward</vt:lpstr>
      <vt:lpstr>MoneyMarket</vt:lpstr>
      <vt:lpstr>Option</vt:lpstr>
      <vt:lpstr>Sensitivity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Erice</cp:lastModifiedBy>
  <dcterms:created xsi:type="dcterms:W3CDTF">2025-12-12T04:54:18Z</dcterms:created>
  <dcterms:modified xsi:type="dcterms:W3CDTF">2025-12-12T05:08:15Z</dcterms:modified>
</cp:coreProperties>
</file>